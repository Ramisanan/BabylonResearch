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anan/Documents/Babylon_Research/"/>
    </mc:Choice>
  </mc:AlternateContent>
  <xr:revisionPtr revIDLastSave="0" documentId="8_{70424C9A-5A99-0342-AE23-E6630EE6F257}" xr6:coauthVersionLast="47" xr6:coauthVersionMax="47" xr10:uidLastSave="{00000000-0000-0000-0000-000000000000}"/>
  <bookViews>
    <workbookView xWindow="0" yWindow="0" windowWidth="28800" windowHeight="18000" xr2:uid="{D691D6D3-9F3C-634E-8B88-EE57D33F0CA8}"/>
  </bookViews>
  <sheets>
    <sheet name="Sheet1" sheetId="1" r:id="rId1"/>
  </sheets>
  <calcPr calcId="18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499" i="1" l="1"/>
  <c r="I1499" i="1" s="1"/>
  <c r="R1498" i="1"/>
  <c r="S1498" i="1" s="1"/>
  <c r="T1498" i="1" s="1"/>
  <c r="G1498" i="1"/>
  <c r="I1498" i="1" s="1"/>
  <c r="R1497" i="1"/>
  <c r="S1497" i="1" s="1"/>
  <c r="T1497" i="1" s="1"/>
  <c r="G1497" i="1"/>
  <c r="I1497" i="1" s="1"/>
  <c r="R1496" i="1"/>
  <c r="S1496" i="1" s="1"/>
  <c r="T1496" i="1" s="1"/>
  <c r="G1496" i="1"/>
  <c r="I1496" i="1" s="1"/>
  <c r="R1495" i="1"/>
  <c r="S1495" i="1" s="1"/>
  <c r="T1495" i="1" s="1"/>
  <c r="G1495" i="1"/>
  <c r="I1495" i="1" s="1"/>
  <c r="G1494" i="1"/>
  <c r="I1494" i="1" s="1"/>
  <c r="G1493" i="1"/>
  <c r="I1493" i="1" s="1"/>
  <c r="G1492" i="1"/>
  <c r="I1492" i="1" s="1"/>
  <c r="N1491" i="1"/>
  <c r="O1491" i="1" s="1"/>
  <c r="M1491" i="1"/>
  <c r="G1491" i="1"/>
  <c r="I1491" i="1" s="1"/>
  <c r="O1490" i="1"/>
  <c r="M1490" i="1"/>
  <c r="N1490" i="1" s="1"/>
  <c r="G1490" i="1"/>
  <c r="I1490" i="1" s="1"/>
  <c r="G1489" i="1"/>
  <c r="I1489" i="1" s="1"/>
  <c r="W1488" i="1"/>
  <c r="X1488" i="1" s="1"/>
  <c r="G1488" i="1"/>
  <c r="I1488" i="1" s="1"/>
  <c r="W1487" i="1"/>
  <c r="X1487" i="1" s="1"/>
  <c r="R1487" i="1"/>
  <c r="S1487" i="1" s="1"/>
  <c r="T1487" i="1" s="1"/>
  <c r="I1487" i="1"/>
  <c r="G1487" i="1"/>
  <c r="I1486" i="1"/>
  <c r="G1486" i="1"/>
  <c r="I1485" i="1"/>
  <c r="G1485" i="1"/>
  <c r="G1484" i="1"/>
  <c r="I1484" i="1" s="1"/>
  <c r="R1483" i="1"/>
  <c r="S1483" i="1" s="1"/>
  <c r="T1483" i="1" s="1"/>
  <c r="G1483" i="1"/>
  <c r="I1483" i="1" s="1"/>
  <c r="M1482" i="1"/>
  <c r="N1482" i="1" s="1"/>
  <c r="O1482" i="1" s="1"/>
  <c r="I1482" i="1"/>
  <c r="G1482" i="1"/>
  <c r="AJ1481" i="1"/>
  <c r="AI1481" i="1"/>
  <c r="I1481" i="1"/>
  <c r="G1481" i="1"/>
  <c r="M1480" i="1"/>
  <c r="N1480" i="1" s="1"/>
  <c r="O1480" i="1" s="1"/>
  <c r="G1480" i="1"/>
  <c r="I1480" i="1" s="1"/>
  <c r="G1479" i="1"/>
  <c r="I1479" i="1" s="1"/>
  <c r="R1478" i="1"/>
  <c r="S1478" i="1" s="1"/>
  <c r="T1478" i="1" s="1"/>
  <c r="I1478" i="1"/>
  <c r="G1478" i="1"/>
  <c r="I1477" i="1"/>
  <c r="G1477" i="1"/>
  <c r="S1476" i="1"/>
  <c r="T1476" i="1" s="1"/>
  <c r="R1476" i="1"/>
  <c r="G1476" i="1"/>
  <c r="I1476" i="1" s="1"/>
  <c r="AA1475" i="1"/>
  <c r="AB1475" i="1" s="1"/>
  <c r="G1475" i="1"/>
  <c r="I1475" i="1" s="1"/>
  <c r="X1474" i="1"/>
  <c r="W1474" i="1"/>
  <c r="G1474" i="1"/>
  <c r="I1474" i="1" s="1"/>
  <c r="G1473" i="1"/>
  <c r="I1473" i="1" s="1"/>
  <c r="R1472" i="1"/>
  <c r="S1472" i="1" s="1"/>
  <c r="T1472" i="1" s="1"/>
  <c r="G1472" i="1"/>
  <c r="I1472" i="1" s="1"/>
  <c r="I1471" i="1"/>
  <c r="G1471" i="1"/>
  <c r="AF1470" i="1"/>
  <c r="AE1470" i="1"/>
  <c r="G1470" i="1"/>
  <c r="I1470" i="1" s="1"/>
  <c r="R1469" i="1"/>
  <c r="S1469" i="1" s="1"/>
  <c r="T1469" i="1" s="1"/>
  <c r="G1469" i="1"/>
  <c r="I1469" i="1" s="1"/>
  <c r="AE1468" i="1"/>
  <c r="AF1468" i="1" s="1"/>
  <c r="I1468" i="1"/>
  <c r="G1468" i="1"/>
  <c r="G1467" i="1"/>
  <c r="I1467" i="1" s="1"/>
  <c r="AI1466" i="1"/>
  <c r="AJ1466" i="1" s="1"/>
  <c r="G1466" i="1"/>
  <c r="I1466" i="1" s="1"/>
  <c r="I1465" i="1"/>
  <c r="G1465" i="1"/>
  <c r="G1464" i="1"/>
  <c r="I1464" i="1" s="1"/>
  <c r="G1463" i="1"/>
  <c r="I1463" i="1" s="1"/>
  <c r="G1462" i="1"/>
  <c r="I1462" i="1" s="1"/>
  <c r="AB1461" i="1"/>
  <c r="AA1461" i="1"/>
  <c r="G1461" i="1"/>
  <c r="I1461" i="1" s="1"/>
  <c r="AE1460" i="1"/>
  <c r="AF1460" i="1" s="1"/>
  <c r="G1460" i="1"/>
  <c r="I1460" i="1" s="1"/>
  <c r="R1459" i="1"/>
  <c r="S1459" i="1" s="1"/>
  <c r="T1459" i="1" s="1"/>
  <c r="I1459" i="1"/>
  <c r="G1459" i="1"/>
  <c r="AB1458" i="1"/>
  <c r="AA1458" i="1"/>
  <c r="G1458" i="1"/>
  <c r="I1458" i="1" s="1"/>
  <c r="G1457" i="1"/>
  <c r="I1457" i="1" s="1"/>
  <c r="AJ1456" i="1"/>
  <c r="AI1456" i="1"/>
  <c r="AF1456" i="1"/>
  <c r="AE1456" i="1"/>
  <c r="AA1456" i="1"/>
  <c r="AB1456" i="1" s="1"/>
  <c r="W1456" i="1"/>
  <c r="X1456" i="1" s="1"/>
  <c r="T1456" i="1"/>
  <c r="R1456" i="1"/>
  <c r="S1456" i="1" s="1"/>
  <c r="M1456" i="1"/>
  <c r="N1456" i="1" s="1"/>
  <c r="O1456" i="1" s="1"/>
  <c r="G1456" i="1"/>
  <c r="I1456" i="1" s="1"/>
  <c r="M1455" i="1"/>
  <c r="N1455" i="1" s="1"/>
  <c r="O1455" i="1" s="1"/>
  <c r="G1455" i="1"/>
  <c r="I1455" i="1" s="1"/>
  <c r="I1454" i="1"/>
  <c r="G1454" i="1"/>
  <c r="AE1453" i="1"/>
  <c r="AF1453" i="1" s="1"/>
  <c r="G1453" i="1"/>
  <c r="I1453" i="1" s="1"/>
  <c r="M1452" i="1"/>
  <c r="N1452" i="1" s="1"/>
  <c r="O1452" i="1" s="1"/>
  <c r="G1452" i="1"/>
  <c r="I1452" i="1" s="1"/>
  <c r="M1451" i="1"/>
  <c r="N1451" i="1" s="1"/>
  <c r="O1451" i="1" s="1"/>
  <c r="G1451" i="1"/>
  <c r="I1451" i="1" s="1"/>
  <c r="AF1450" i="1"/>
  <c r="AE1450" i="1"/>
  <c r="G1450" i="1"/>
  <c r="I1450" i="1" s="1"/>
  <c r="G1449" i="1"/>
  <c r="I1449" i="1" s="1"/>
  <c r="AI1448" i="1"/>
  <c r="AJ1448" i="1" s="1"/>
  <c r="AB1448" i="1"/>
  <c r="AA1448" i="1"/>
  <c r="W1448" i="1"/>
  <c r="X1448" i="1" s="1"/>
  <c r="S1448" i="1"/>
  <c r="T1448" i="1" s="1"/>
  <c r="R1448" i="1"/>
  <c r="G1448" i="1"/>
  <c r="I1448" i="1" s="1"/>
  <c r="M1447" i="1"/>
  <c r="N1447" i="1" s="1"/>
  <c r="O1447" i="1" s="1"/>
  <c r="G1447" i="1"/>
  <c r="I1447" i="1" s="1"/>
  <c r="M1446" i="1"/>
  <c r="N1446" i="1" s="1"/>
  <c r="O1446" i="1" s="1"/>
  <c r="G1446" i="1"/>
  <c r="I1446" i="1" s="1"/>
  <c r="I1445" i="1"/>
  <c r="G1445" i="1"/>
  <c r="M1444" i="1"/>
  <c r="N1444" i="1" s="1"/>
  <c r="O1444" i="1" s="1"/>
  <c r="I1444" i="1"/>
  <c r="G1444" i="1"/>
  <c r="G1443" i="1"/>
  <c r="I1443" i="1" s="1"/>
  <c r="N1442" i="1"/>
  <c r="O1442" i="1" s="1"/>
  <c r="M1442" i="1"/>
  <c r="G1442" i="1"/>
  <c r="I1442" i="1" s="1"/>
  <c r="R1441" i="1"/>
  <c r="S1441" i="1" s="1"/>
  <c r="T1441" i="1" s="1"/>
  <c r="G1441" i="1"/>
  <c r="I1441" i="1" s="1"/>
  <c r="M1440" i="1"/>
  <c r="N1440" i="1" s="1"/>
  <c r="O1440" i="1" s="1"/>
  <c r="G1440" i="1"/>
  <c r="I1440" i="1" s="1"/>
  <c r="AB1439" i="1"/>
  <c r="AA1439" i="1"/>
  <c r="I1439" i="1"/>
  <c r="G1439" i="1"/>
  <c r="S1438" i="1"/>
  <c r="T1438" i="1" s="1"/>
  <c r="R1438" i="1"/>
  <c r="N1438" i="1"/>
  <c r="O1438" i="1" s="1"/>
  <c r="M1438" i="1"/>
  <c r="I1438" i="1"/>
  <c r="G1438" i="1"/>
  <c r="AA1437" i="1"/>
  <c r="AB1437" i="1" s="1"/>
  <c r="G1437" i="1"/>
  <c r="I1437" i="1" s="1"/>
  <c r="AJ1436" i="1"/>
  <c r="AI1436" i="1"/>
  <c r="AF1436" i="1"/>
  <c r="AE1436" i="1"/>
  <c r="W1436" i="1"/>
  <c r="X1436" i="1" s="1"/>
  <c r="G1436" i="1"/>
  <c r="I1436" i="1" s="1"/>
  <c r="O1435" i="1"/>
  <c r="M1435" i="1"/>
  <c r="N1435" i="1" s="1"/>
  <c r="G1435" i="1"/>
  <c r="I1435" i="1" s="1"/>
  <c r="I1434" i="1"/>
  <c r="G1434" i="1"/>
  <c r="G1433" i="1"/>
  <c r="I1433" i="1" s="1"/>
  <c r="AI1432" i="1"/>
  <c r="AJ1432" i="1" s="1"/>
  <c r="AE1432" i="1"/>
  <c r="AF1432" i="1" s="1"/>
  <c r="AB1432" i="1"/>
  <c r="AA1432" i="1"/>
  <c r="W1432" i="1"/>
  <c r="X1432" i="1" s="1"/>
  <c r="S1432" i="1"/>
  <c r="T1432" i="1" s="1"/>
  <c r="R1432" i="1"/>
  <c r="G1432" i="1"/>
  <c r="I1432" i="1" s="1"/>
  <c r="AI1431" i="1"/>
  <c r="AJ1431" i="1" s="1"/>
  <c r="X1431" i="1"/>
  <c r="W1431" i="1"/>
  <c r="I1431" i="1"/>
  <c r="G1431" i="1"/>
  <c r="N1430" i="1"/>
  <c r="O1430" i="1" s="1"/>
  <c r="M1430" i="1"/>
  <c r="G1430" i="1"/>
  <c r="I1430" i="1" s="1"/>
  <c r="N1429" i="1"/>
  <c r="O1429" i="1" s="1"/>
  <c r="M1429" i="1"/>
  <c r="G1429" i="1"/>
  <c r="I1429" i="1" s="1"/>
  <c r="G1428" i="1"/>
  <c r="I1428" i="1" s="1"/>
  <c r="T1427" i="1"/>
  <c r="R1427" i="1"/>
  <c r="S1427" i="1" s="1"/>
  <c r="G1427" i="1"/>
  <c r="I1427" i="1" s="1"/>
  <c r="AF1426" i="1"/>
  <c r="AE1426" i="1"/>
  <c r="G1426" i="1"/>
  <c r="I1426" i="1" s="1"/>
  <c r="S1425" i="1"/>
  <c r="T1425" i="1" s="1"/>
  <c r="R1425" i="1"/>
  <c r="G1425" i="1"/>
  <c r="I1425" i="1" s="1"/>
  <c r="G1424" i="1"/>
  <c r="I1424" i="1" s="1"/>
  <c r="I1423" i="1"/>
  <c r="G1423" i="1"/>
  <c r="X1422" i="1"/>
  <c r="W1422" i="1"/>
  <c r="G1422" i="1"/>
  <c r="I1422" i="1" s="1"/>
  <c r="AE1421" i="1"/>
  <c r="AF1421" i="1" s="1"/>
  <c r="I1421" i="1"/>
  <c r="G1421" i="1"/>
  <c r="I1420" i="1"/>
  <c r="G1420" i="1"/>
  <c r="G1419" i="1"/>
  <c r="I1419" i="1" s="1"/>
  <c r="AI1418" i="1"/>
  <c r="AJ1418" i="1" s="1"/>
  <c r="I1418" i="1"/>
  <c r="G1418" i="1"/>
  <c r="I1417" i="1"/>
  <c r="G1417" i="1"/>
  <c r="G1416" i="1"/>
  <c r="I1416" i="1" s="1"/>
  <c r="M1415" i="1"/>
  <c r="N1415" i="1" s="1"/>
  <c r="O1415" i="1" s="1"/>
  <c r="G1415" i="1"/>
  <c r="I1415" i="1" s="1"/>
  <c r="M1414" i="1"/>
  <c r="N1414" i="1" s="1"/>
  <c r="O1414" i="1" s="1"/>
  <c r="G1414" i="1"/>
  <c r="I1414" i="1" s="1"/>
  <c r="I1413" i="1"/>
  <c r="G1413" i="1"/>
  <c r="T1412" i="1"/>
  <c r="S1412" i="1"/>
  <c r="R1412" i="1"/>
  <c r="I1412" i="1"/>
  <c r="G1412" i="1"/>
  <c r="N1411" i="1"/>
  <c r="O1411" i="1" s="1"/>
  <c r="M1411" i="1"/>
  <c r="I1411" i="1"/>
  <c r="G1411" i="1"/>
  <c r="G1410" i="1"/>
  <c r="I1410" i="1" s="1"/>
  <c r="R1409" i="1"/>
  <c r="S1409" i="1" s="1"/>
  <c r="T1409" i="1" s="1"/>
  <c r="G1409" i="1"/>
  <c r="I1409" i="1" s="1"/>
  <c r="I1408" i="1"/>
  <c r="G1408" i="1"/>
  <c r="R1407" i="1"/>
  <c r="S1407" i="1" s="1"/>
  <c r="T1407" i="1" s="1"/>
  <c r="I1407" i="1"/>
  <c r="G1407" i="1"/>
  <c r="N1406" i="1"/>
  <c r="O1406" i="1" s="1"/>
  <c r="M1406" i="1"/>
  <c r="I1406" i="1"/>
  <c r="G1406" i="1"/>
  <c r="N1405" i="1"/>
  <c r="O1405" i="1" s="1"/>
  <c r="M1405" i="1"/>
  <c r="G1405" i="1"/>
  <c r="I1405" i="1" s="1"/>
  <c r="G1404" i="1"/>
  <c r="I1404" i="1" s="1"/>
  <c r="R1403" i="1"/>
  <c r="S1403" i="1" s="1"/>
  <c r="T1403" i="1" s="1"/>
  <c r="G1403" i="1"/>
  <c r="I1403" i="1" s="1"/>
  <c r="I1402" i="1"/>
  <c r="G1402" i="1"/>
  <c r="X1401" i="1"/>
  <c r="W1401" i="1"/>
  <c r="G1401" i="1"/>
  <c r="I1401" i="1" s="1"/>
  <c r="N1400" i="1"/>
  <c r="O1400" i="1" s="1"/>
  <c r="M1400" i="1"/>
  <c r="G1400" i="1"/>
  <c r="I1400" i="1" s="1"/>
  <c r="G1399" i="1"/>
  <c r="I1399" i="1" s="1"/>
  <c r="I1398" i="1"/>
  <c r="G1398" i="1"/>
  <c r="G1397" i="1"/>
  <c r="I1397" i="1" s="1"/>
  <c r="AI1396" i="1"/>
  <c r="AJ1396" i="1" s="1"/>
  <c r="AE1396" i="1"/>
  <c r="AF1396" i="1" s="1"/>
  <c r="AB1396" i="1"/>
  <c r="AA1396" i="1"/>
  <c r="I1396" i="1"/>
  <c r="G1396" i="1"/>
  <c r="G1395" i="1"/>
  <c r="I1395" i="1" s="1"/>
  <c r="G1394" i="1"/>
  <c r="I1394" i="1" s="1"/>
  <c r="M1393" i="1"/>
  <c r="N1393" i="1" s="1"/>
  <c r="O1393" i="1" s="1"/>
  <c r="I1393" i="1"/>
  <c r="G1393" i="1"/>
  <c r="I1392" i="1"/>
  <c r="G1392" i="1"/>
  <c r="N1391" i="1"/>
  <c r="O1391" i="1" s="1"/>
  <c r="M1391" i="1"/>
  <c r="G1391" i="1"/>
  <c r="I1391" i="1" s="1"/>
  <c r="N1390" i="1"/>
  <c r="O1390" i="1" s="1"/>
  <c r="M1390" i="1"/>
  <c r="G1390" i="1"/>
  <c r="I1390" i="1" s="1"/>
  <c r="G1389" i="1"/>
  <c r="I1389" i="1" s="1"/>
  <c r="R1388" i="1"/>
  <c r="S1388" i="1" s="1"/>
  <c r="T1388" i="1" s="1"/>
  <c r="G1388" i="1"/>
  <c r="I1388" i="1" s="1"/>
  <c r="I1387" i="1"/>
  <c r="G1387" i="1"/>
  <c r="AI1386" i="1"/>
  <c r="AJ1386" i="1" s="1"/>
  <c r="W1386" i="1"/>
  <c r="X1386" i="1" s="1"/>
  <c r="G1386" i="1"/>
  <c r="I1386" i="1" s="1"/>
  <c r="R1385" i="1"/>
  <c r="S1385" i="1" s="1"/>
  <c r="T1385" i="1" s="1"/>
  <c r="I1385" i="1"/>
  <c r="G1385" i="1"/>
  <c r="M1384" i="1"/>
  <c r="N1384" i="1" s="1"/>
  <c r="O1384" i="1" s="1"/>
  <c r="I1384" i="1"/>
  <c r="G1384" i="1"/>
  <c r="G1383" i="1"/>
  <c r="I1383" i="1" s="1"/>
  <c r="G1382" i="1"/>
  <c r="I1382" i="1" s="1"/>
  <c r="G1381" i="1"/>
  <c r="I1381" i="1" s="1"/>
  <c r="R1380" i="1"/>
  <c r="S1380" i="1" s="1"/>
  <c r="T1380" i="1" s="1"/>
  <c r="I1380" i="1"/>
  <c r="G1380" i="1"/>
  <c r="I1379" i="1"/>
  <c r="G1379" i="1"/>
  <c r="N1378" i="1"/>
  <c r="O1378" i="1" s="1"/>
  <c r="M1378" i="1"/>
  <c r="G1378" i="1"/>
  <c r="I1378" i="1" s="1"/>
  <c r="G1377" i="1"/>
  <c r="I1377" i="1" s="1"/>
  <c r="M1376" i="1"/>
  <c r="N1376" i="1" s="1"/>
  <c r="O1376" i="1" s="1"/>
  <c r="G1376" i="1"/>
  <c r="I1376" i="1" s="1"/>
  <c r="I1375" i="1"/>
  <c r="G1375" i="1"/>
  <c r="O1374" i="1"/>
  <c r="M1374" i="1"/>
  <c r="N1374" i="1" s="1"/>
  <c r="I1374" i="1"/>
  <c r="G1374" i="1"/>
  <c r="S1373" i="1"/>
  <c r="T1373" i="1" s="1"/>
  <c r="R1373" i="1"/>
  <c r="O1373" i="1"/>
  <c r="M1373" i="1"/>
  <c r="N1373" i="1" s="1"/>
  <c r="I1373" i="1"/>
  <c r="G1373" i="1"/>
  <c r="G1372" i="1"/>
  <c r="I1372" i="1" s="1"/>
  <c r="G1371" i="1"/>
  <c r="I1371" i="1" s="1"/>
  <c r="G1370" i="1"/>
  <c r="I1370" i="1" s="1"/>
  <c r="I1369" i="1"/>
  <c r="G1369" i="1"/>
  <c r="S1368" i="1"/>
  <c r="T1368" i="1" s="1"/>
  <c r="R1368" i="1"/>
  <c r="I1368" i="1"/>
  <c r="G1368" i="1"/>
  <c r="S1367" i="1"/>
  <c r="T1367" i="1" s="1"/>
  <c r="R1367" i="1"/>
  <c r="I1367" i="1"/>
  <c r="G1367" i="1"/>
  <c r="N1366" i="1"/>
  <c r="O1366" i="1" s="1"/>
  <c r="M1366" i="1"/>
  <c r="G1366" i="1"/>
  <c r="I1366" i="1" s="1"/>
  <c r="M1365" i="1"/>
  <c r="N1365" i="1" s="1"/>
  <c r="O1365" i="1" s="1"/>
  <c r="G1365" i="1"/>
  <c r="I1365" i="1" s="1"/>
  <c r="G1364" i="1"/>
  <c r="I1364" i="1" s="1"/>
  <c r="I1363" i="1"/>
  <c r="G1363" i="1"/>
  <c r="G1362" i="1"/>
  <c r="I1362" i="1" s="1"/>
  <c r="N1361" i="1"/>
  <c r="O1361" i="1" s="1"/>
  <c r="M1361" i="1"/>
  <c r="G1361" i="1"/>
  <c r="I1361" i="1" s="1"/>
  <c r="AE1360" i="1"/>
  <c r="AF1360" i="1" s="1"/>
  <c r="I1360" i="1"/>
  <c r="G1360" i="1"/>
  <c r="I1359" i="1"/>
  <c r="G1359" i="1"/>
  <c r="AE1358" i="1"/>
  <c r="AF1358" i="1" s="1"/>
  <c r="G1358" i="1"/>
  <c r="I1358" i="1" s="1"/>
  <c r="I1357" i="1"/>
  <c r="G1357" i="1"/>
  <c r="R1356" i="1"/>
  <c r="S1356" i="1" s="1"/>
  <c r="T1356" i="1" s="1"/>
  <c r="I1356" i="1"/>
  <c r="G1356" i="1"/>
  <c r="S1355" i="1"/>
  <c r="T1355" i="1" s="1"/>
  <c r="R1355" i="1"/>
  <c r="I1355" i="1"/>
  <c r="G1355" i="1"/>
  <c r="S1354" i="1"/>
  <c r="T1354" i="1" s="1"/>
  <c r="R1354" i="1"/>
  <c r="G1354" i="1"/>
  <c r="I1354" i="1" s="1"/>
  <c r="AE1353" i="1"/>
  <c r="AF1353" i="1" s="1"/>
  <c r="G1353" i="1"/>
  <c r="I1353" i="1" s="1"/>
  <c r="T1352" i="1"/>
  <c r="R1352" i="1"/>
  <c r="S1352" i="1" s="1"/>
  <c r="I1352" i="1"/>
  <c r="G1352" i="1"/>
  <c r="R1351" i="1"/>
  <c r="S1351" i="1" s="1"/>
  <c r="T1351" i="1" s="1"/>
  <c r="I1351" i="1"/>
  <c r="G1351" i="1"/>
  <c r="O1350" i="1"/>
  <c r="N1350" i="1"/>
  <c r="M1350" i="1"/>
  <c r="I1350" i="1"/>
  <c r="G1350" i="1"/>
  <c r="AE1349" i="1"/>
  <c r="AF1349" i="1" s="1"/>
  <c r="G1349" i="1"/>
  <c r="I1349" i="1" s="1"/>
  <c r="I1348" i="1"/>
  <c r="G1348" i="1"/>
  <c r="M1347" i="1"/>
  <c r="N1347" i="1" s="1"/>
  <c r="O1347" i="1" s="1"/>
  <c r="I1347" i="1"/>
  <c r="G1347" i="1"/>
  <c r="G1346" i="1"/>
  <c r="I1346" i="1" s="1"/>
  <c r="S1345" i="1"/>
  <c r="T1345" i="1" s="1"/>
  <c r="R1345" i="1"/>
  <c r="G1345" i="1"/>
  <c r="I1345" i="1" s="1"/>
  <c r="G1344" i="1"/>
  <c r="I1344" i="1" s="1"/>
  <c r="AJ1343" i="1"/>
  <c r="AI1343" i="1"/>
  <c r="AF1343" i="1"/>
  <c r="AE1343" i="1"/>
  <c r="G1343" i="1"/>
  <c r="I1343" i="1" s="1"/>
  <c r="N1342" i="1"/>
  <c r="O1342" i="1" s="1"/>
  <c r="M1342" i="1"/>
  <c r="G1342" i="1"/>
  <c r="I1342" i="1" s="1"/>
  <c r="G1341" i="1"/>
  <c r="I1341" i="1" s="1"/>
  <c r="I1340" i="1"/>
  <c r="G1340" i="1"/>
  <c r="I1339" i="1"/>
  <c r="G1339" i="1"/>
  <c r="N1338" i="1"/>
  <c r="O1338" i="1" s="1"/>
  <c r="M1338" i="1"/>
  <c r="G1338" i="1"/>
  <c r="I1338" i="1" s="1"/>
  <c r="G1337" i="1"/>
  <c r="I1337" i="1" s="1"/>
  <c r="M1336" i="1"/>
  <c r="N1336" i="1" s="1"/>
  <c r="O1336" i="1" s="1"/>
  <c r="G1336" i="1"/>
  <c r="I1336" i="1" s="1"/>
  <c r="O1335" i="1"/>
  <c r="M1335" i="1"/>
  <c r="N1335" i="1" s="1"/>
  <c r="I1335" i="1"/>
  <c r="G1335" i="1"/>
  <c r="I1334" i="1"/>
  <c r="G1334" i="1"/>
  <c r="AI1333" i="1"/>
  <c r="AJ1333" i="1" s="1"/>
  <c r="G1333" i="1"/>
  <c r="I1333" i="1" s="1"/>
  <c r="I1332" i="1"/>
  <c r="G1332" i="1"/>
  <c r="I1331" i="1"/>
  <c r="G1331" i="1"/>
  <c r="S1330" i="1"/>
  <c r="T1330" i="1" s="1"/>
  <c r="R1330" i="1"/>
  <c r="G1330" i="1"/>
  <c r="I1330" i="1" s="1"/>
  <c r="G1329" i="1"/>
  <c r="I1329" i="1" s="1"/>
  <c r="AI1328" i="1"/>
  <c r="AJ1328" i="1" s="1"/>
  <c r="X1328" i="1"/>
  <c r="W1328" i="1"/>
  <c r="G1328" i="1"/>
  <c r="I1328" i="1" s="1"/>
  <c r="G1327" i="1"/>
  <c r="I1327" i="1" s="1"/>
  <c r="G1326" i="1"/>
  <c r="I1326" i="1" s="1"/>
  <c r="I1325" i="1"/>
  <c r="G1325" i="1"/>
  <c r="N1324" i="1"/>
  <c r="O1324" i="1" s="1"/>
  <c r="M1324" i="1"/>
  <c r="I1324" i="1"/>
  <c r="G1324" i="1"/>
  <c r="G1323" i="1"/>
  <c r="I1323" i="1" s="1"/>
  <c r="AA1322" i="1"/>
  <c r="AB1322" i="1" s="1"/>
  <c r="X1322" i="1"/>
  <c r="W1322" i="1"/>
  <c r="I1322" i="1"/>
  <c r="G1322" i="1"/>
  <c r="S1321" i="1"/>
  <c r="T1321" i="1" s="1"/>
  <c r="R1321" i="1"/>
  <c r="G1321" i="1"/>
  <c r="I1321" i="1" s="1"/>
  <c r="G1320" i="1"/>
  <c r="I1320" i="1" s="1"/>
  <c r="M1319" i="1"/>
  <c r="N1319" i="1" s="1"/>
  <c r="O1319" i="1" s="1"/>
  <c r="G1319" i="1"/>
  <c r="I1319" i="1" s="1"/>
  <c r="M1318" i="1"/>
  <c r="N1318" i="1" s="1"/>
  <c r="O1318" i="1" s="1"/>
  <c r="G1318" i="1"/>
  <c r="I1318" i="1" s="1"/>
  <c r="I1317" i="1"/>
  <c r="G1317" i="1"/>
  <c r="I1316" i="1"/>
  <c r="G1316" i="1"/>
  <c r="W1315" i="1"/>
  <c r="X1315" i="1" s="1"/>
  <c r="G1315" i="1"/>
  <c r="I1315" i="1" s="1"/>
  <c r="R1314" i="1"/>
  <c r="S1314" i="1" s="1"/>
  <c r="T1314" i="1" s="1"/>
  <c r="I1314" i="1"/>
  <c r="G1314" i="1"/>
  <c r="I1313" i="1"/>
  <c r="G1313" i="1"/>
  <c r="S1312" i="1"/>
  <c r="T1312" i="1" s="1"/>
  <c r="R1312" i="1"/>
  <c r="G1312" i="1"/>
  <c r="I1312" i="1" s="1"/>
  <c r="G1311" i="1"/>
  <c r="I1311" i="1" s="1"/>
  <c r="G1310" i="1"/>
  <c r="I1310" i="1" s="1"/>
  <c r="O1309" i="1"/>
  <c r="M1309" i="1"/>
  <c r="N1309" i="1" s="1"/>
  <c r="I1309" i="1"/>
  <c r="G1309" i="1"/>
  <c r="R1308" i="1"/>
  <c r="S1308" i="1" s="1"/>
  <c r="T1308" i="1" s="1"/>
  <c r="I1308" i="1"/>
  <c r="G1308" i="1"/>
  <c r="I1307" i="1"/>
  <c r="G1307" i="1"/>
  <c r="AI1306" i="1"/>
  <c r="AJ1306" i="1" s="1"/>
  <c r="W1306" i="1"/>
  <c r="X1306" i="1" s="1"/>
  <c r="I1306" i="1"/>
  <c r="G1306" i="1"/>
  <c r="T1305" i="1"/>
  <c r="S1305" i="1"/>
  <c r="R1305" i="1"/>
  <c r="I1305" i="1"/>
  <c r="G1305" i="1"/>
  <c r="G1304" i="1"/>
  <c r="I1304" i="1" s="1"/>
  <c r="R1303" i="1"/>
  <c r="S1303" i="1" s="1"/>
  <c r="T1303" i="1" s="1"/>
  <c r="G1303" i="1"/>
  <c r="I1303" i="1" s="1"/>
  <c r="G1302" i="1"/>
  <c r="I1302" i="1" s="1"/>
  <c r="AF1301" i="1"/>
  <c r="AE1301" i="1"/>
  <c r="I1301" i="1"/>
  <c r="G1301" i="1"/>
  <c r="AE1300" i="1"/>
  <c r="AF1300" i="1" s="1"/>
  <c r="G1300" i="1"/>
  <c r="I1300" i="1" s="1"/>
  <c r="I1299" i="1"/>
  <c r="G1299" i="1"/>
  <c r="I1298" i="1"/>
  <c r="G1298" i="1"/>
  <c r="G1297" i="1"/>
  <c r="I1297" i="1" s="1"/>
  <c r="G1296" i="1"/>
  <c r="I1296" i="1" s="1"/>
  <c r="AF1295" i="1"/>
  <c r="AE1295" i="1"/>
  <c r="G1295" i="1"/>
  <c r="I1295" i="1" s="1"/>
  <c r="G1294" i="1"/>
  <c r="I1294" i="1" s="1"/>
  <c r="AI1293" i="1"/>
  <c r="AJ1293" i="1" s="1"/>
  <c r="AB1293" i="1"/>
  <c r="AA1293" i="1"/>
  <c r="G1293" i="1"/>
  <c r="I1293" i="1" s="1"/>
  <c r="G1292" i="1"/>
  <c r="I1292" i="1" s="1"/>
  <c r="G1291" i="1"/>
  <c r="I1291" i="1" s="1"/>
  <c r="AF1290" i="1"/>
  <c r="AE1290" i="1"/>
  <c r="I1290" i="1"/>
  <c r="G1290" i="1"/>
  <c r="AE1289" i="1"/>
  <c r="AF1289" i="1" s="1"/>
  <c r="G1289" i="1"/>
  <c r="I1289" i="1" s="1"/>
  <c r="I1288" i="1"/>
  <c r="G1288" i="1"/>
  <c r="T1287" i="1"/>
  <c r="S1287" i="1"/>
  <c r="R1287" i="1"/>
  <c r="I1287" i="1"/>
  <c r="G1287" i="1"/>
  <c r="S1286" i="1"/>
  <c r="T1286" i="1" s="1"/>
  <c r="R1286" i="1"/>
  <c r="G1286" i="1"/>
  <c r="I1286" i="1" s="1"/>
  <c r="S1285" i="1"/>
  <c r="T1285" i="1" s="1"/>
  <c r="R1285" i="1"/>
  <c r="G1285" i="1"/>
  <c r="I1285" i="1" s="1"/>
  <c r="G1284" i="1"/>
  <c r="I1284" i="1" s="1"/>
  <c r="I1283" i="1"/>
  <c r="G1283" i="1"/>
  <c r="I1282" i="1"/>
  <c r="G1282" i="1"/>
  <c r="S1281" i="1"/>
  <c r="T1281" i="1" s="1"/>
  <c r="R1281" i="1"/>
  <c r="G1281" i="1"/>
  <c r="I1281" i="1" s="1"/>
  <c r="N1280" i="1"/>
  <c r="O1280" i="1" s="1"/>
  <c r="M1280" i="1"/>
  <c r="G1280" i="1"/>
  <c r="I1280" i="1" s="1"/>
  <c r="G1279" i="1"/>
  <c r="I1279" i="1" s="1"/>
  <c r="AJ1278" i="1"/>
  <c r="AI1278" i="1"/>
  <c r="I1278" i="1"/>
  <c r="G1278" i="1"/>
  <c r="W1277" i="1"/>
  <c r="X1277" i="1" s="1"/>
  <c r="M1277" i="1"/>
  <c r="N1277" i="1" s="1"/>
  <c r="O1277" i="1" s="1"/>
  <c r="G1277" i="1"/>
  <c r="I1277" i="1" s="1"/>
  <c r="AE1276" i="1"/>
  <c r="AF1276" i="1" s="1"/>
  <c r="I1276" i="1"/>
  <c r="G1276" i="1"/>
  <c r="N1275" i="1"/>
  <c r="O1275" i="1" s="1"/>
  <c r="M1275" i="1"/>
  <c r="I1275" i="1"/>
  <c r="G1275" i="1"/>
  <c r="G1274" i="1"/>
  <c r="I1274" i="1" s="1"/>
  <c r="G1273" i="1"/>
  <c r="I1273" i="1" s="1"/>
  <c r="I1272" i="1"/>
  <c r="G1272" i="1"/>
  <c r="R1271" i="1"/>
  <c r="S1271" i="1" s="1"/>
  <c r="T1271" i="1" s="1"/>
  <c r="I1271" i="1"/>
  <c r="G1271" i="1"/>
  <c r="S1270" i="1"/>
  <c r="T1270" i="1" s="1"/>
  <c r="R1270" i="1"/>
  <c r="I1270" i="1"/>
  <c r="G1270" i="1"/>
  <c r="G1269" i="1"/>
  <c r="I1269" i="1" s="1"/>
  <c r="W1268" i="1"/>
  <c r="X1268" i="1" s="1"/>
  <c r="I1268" i="1"/>
  <c r="G1268" i="1"/>
  <c r="I1267" i="1"/>
  <c r="G1267" i="1"/>
  <c r="N1266" i="1"/>
  <c r="O1266" i="1" s="1"/>
  <c r="M1266" i="1"/>
  <c r="G1266" i="1"/>
  <c r="I1266" i="1" s="1"/>
  <c r="N1265" i="1"/>
  <c r="O1265" i="1" s="1"/>
  <c r="M1265" i="1"/>
  <c r="G1265" i="1"/>
  <c r="I1265" i="1" s="1"/>
  <c r="M1264" i="1"/>
  <c r="N1264" i="1" s="1"/>
  <c r="O1264" i="1" s="1"/>
  <c r="G1264" i="1"/>
  <c r="I1264" i="1" s="1"/>
  <c r="G1263" i="1"/>
  <c r="I1263" i="1" s="1"/>
  <c r="AF1262" i="1"/>
  <c r="AE1262" i="1"/>
  <c r="G1262" i="1"/>
  <c r="I1262" i="1" s="1"/>
  <c r="N1261" i="1"/>
  <c r="O1261" i="1" s="1"/>
  <c r="M1261" i="1"/>
  <c r="G1261" i="1"/>
  <c r="I1261" i="1" s="1"/>
  <c r="AE1260" i="1"/>
  <c r="AF1260" i="1" s="1"/>
  <c r="I1260" i="1"/>
  <c r="G1260" i="1"/>
  <c r="M1259" i="1"/>
  <c r="N1259" i="1" s="1"/>
  <c r="O1259" i="1" s="1"/>
  <c r="I1259" i="1"/>
  <c r="G1259" i="1"/>
  <c r="AE1258" i="1"/>
  <c r="AF1258" i="1" s="1"/>
  <c r="G1258" i="1"/>
  <c r="I1258" i="1" s="1"/>
  <c r="M1257" i="1"/>
  <c r="N1257" i="1" s="1"/>
  <c r="O1257" i="1" s="1"/>
  <c r="G1257" i="1"/>
  <c r="I1257" i="1" s="1"/>
  <c r="I1256" i="1"/>
  <c r="G1256" i="1"/>
  <c r="AB1255" i="1"/>
  <c r="AA1255" i="1"/>
  <c r="G1255" i="1"/>
  <c r="I1255" i="1" s="1"/>
  <c r="G1254" i="1"/>
  <c r="I1254" i="1" s="1"/>
  <c r="I1253" i="1"/>
  <c r="G1253" i="1"/>
  <c r="AF1252" i="1"/>
  <c r="AE1252" i="1"/>
  <c r="G1252" i="1"/>
  <c r="I1252" i="1" s="1"/>
  <c r="AE1251" i="1"/>
  <c r="AF1251" i="1" s="1"/>
  <c r="I1251" i="1"/>
  <c r="G1251" i="1"/>
  <c r="T1250" i="1"/>
  <c r="R1250" i="1"/>
  <c r="S1250" i="1" s="1"/>
  <c r="I1250" i="1"/>
  <c r="G1250" i="1"/>
  <c r="S1249" i="1"/>
  <c r="T1249" i="1" s="1"/>
  <c r="R1249" i="1"/>
  <c r="I1249" i="1"/>
  <c r="G1249" i="1"/>
  <c r="S1248" i="1"/>
  <c r="T1248" i="1" s="1"/>
  <c r="R1248" i="1"/>
  <c r="G1248" i="1"/>
  <c r="I1248" i="1" s="1"/>
  <c r="S1247" i="1"/>
  <c r="T1247" i="1" s="1"/>
  <c r="R1247" i="1"/>
  <c r="G1247" i="1"/>
  <c r="I1247" i="1" s="1"/>
  <c r="G1246" i="1"/>
  <c r="I1246" i="1" s="1"/>
  <c r="T1245" i="1"/>
  <c r="R1245" i="1"/>
  <c r="S1245" i="1" s="1"/>
  <c r="G1245" i="1"/>
  <c r="I1245" i="1" s="1"/>
  <c r="R1244" i="1"/>
  <c r="S1244" i="1" s="1"/>
  <c r="T1244" i="1" s="1"/>
  <c r="I1244" i="1"/>
  <c r="G1244" i="1"/>
  <c r="I1243" i="1"/>
  <c r="G1243" i="1"/>
  <c r="AI1242" i="1"/>
  <c r="AJ1242" i="1" s="1"/>
  <c r="G1242" i="1"/>
  <c r="I1242" i="1" s="1"/>
  <c r="I1241" i="1"/>
  <c r="G1241" i="1"/>
  <c r="T1240" i="1"/>
  <c r="R1240" i="1"/>
  <c r="S1240" i="1" s="1"/>
  <c r="I1240" i="1"/>
  <c r="G1240" i="1"/>
  <c r="AE1239" i="1"/>
  <c r="AF1239" i="1" s="1"/>
  <c r="G1239" i="1"/>
  <c r="I1239" i="1" s="1"/>
  <c r="R1238" i="1"/>
  <c r="S1238" i="1" s="1"/>
  <c r="T1238" i="1" s="1"/>
  <c r="G1238" i="1"/>
  <c r="I1238" i="1" s="1"/>
  <c r="T1237" i="1"/>
  <c r="R1237" i="1"/>
  <c r="S1237" i="1" s="1"/>
  <c r="G1237" i="1"/>
  <c r="I1237" i="1" s="1"/>
  <c r="R1236" i="1"/>
  <c r="S1236" i="1" s="1"/>
  <c r="T1236" i="1" s="1"/>
  <c r="I1236" i="1"/>
  <c r="G1236" i="1"/>
  <c r="AF1235" i="1"/>
  <c r="AE1235" i="1"/>
  <c r="G1235" i="1"/>
  <c r="I1235" i="1" s="1"/>
  <c r="R1234" i="1"/>
  <c r="S1234" i="1" s="1"/>
  <c r="T1234" i="1" s="1"/>
  <c r="G1234" i="1"/>
  <c r="I1234" i="1" s="1"/>
  <c r="N1233" i="1"/>
  <c r="O1233" i="1" s="1"/>
  <c r="M1233" i="1"/>
  <c r="G1233" i="1"/>
  <c r="I1233" i="1" s="1"/>
  <c r="I1232" i="1"/>
  <c r="G1232" i="1"/>
  <c r="AJ1231" i="1"/>
  <c r="AI1231" i="1"/>
  <c r="G1231" i="1"/>
  <c r="I1231" i="1" s="1"/>
  <c r="M1230" i="1"/>
  <c r="N1230" i="1" s="1"/>
  <c r="O1230" i="1" s="1"/>
  <c r="G1230" i="1"/>
  <c r="I1230" i="1" s="1"/>
  <c r="M1229" i="1"/>
  <c r="N1229" i="1" s="1"/>
  <c r="O1229" i="1" s="1"/>
  <c r="G1229" i="1"/>
  <c r="I1229" i="1" s="1"/>
  <c r="M1228" i="1"/>
  <c r="N1228" i="1" s="1"/>
  <c r="O1228" i="1" s="1"/>
  <c r="G1228" i="1"/>
  <c r="I1228" i="1" s="1"/>
  <c r="O1227" i="1"/>
  <c r="M1227" i="1"/>
  <c r="N1227" i="1" s="1"/>
  <c r="I1227" i="1"/>
  <c r="G1227" i="1"/>
  <c r="M1226" i="1"/>
  <c r="N1226" i="1" s="1"/>
  <c r="O1226" i="1" s="1"/>
  <c r="I1226" i="1"/>
  <c r="G1226" i="1"/>
  <c r="T1225" i="1"/>
  <c r="S1225" i="1"/>
  <c r="R1225" i="1"/>
  <c r="I1225" i="1"/>
  <c r="G1225" i="1"/>
  <c r="G1224" i="1"/>
  <c r="I1224" i="1" s="1"/>
  <c r="R1223" i="1"/>
  <c r="S1223" i="1" s="1"/>
  <c r="T1223" i="1" s="1"/>
  <c r="G1223" i="1"/>
  <c r="I1223" i="1" s="1"/>
  <c r="M1222" i="1"/>
  <c r="N1222" i="1" s="1"/>
  <c r="O1222" i="1" s="1"/>
  <c r="G1222" i="1"/>
  <c r="I1222" i="1" s="1"/>
  <c r="X1221" i="1"/>
  <c r="W1221" i="1"/>
  <c r="I1221" i="1"/>
  <c r="G1221" i="1"/>
  <c r="N1220" i="1"/>
  <c r="O1220" i="1" s="1"/>
  <c r="M1220" i="1"/>
  <c r="I1220" i="1"/>
  <c r="G1220" i="1"/>
  <c r="G1219" i="1"/>
  <c r="I1219" i="1" s="1"/>
  <c r="G1218" i="1"/>
  <c r="I1218" i="1" s="1"/>
  <c r="AF1217" i="1"/>
  <c r="AE1217" i="1"/>
  <c r="AA1217" i="1"/>
  <c r="AB1217" i="1" s="1"/>
  <c r="W1217" i="1"/>
  <c r="X1217" i="1" s="1"/>
  <c r="S1217" i="1"/>
  <c r="T1217" i="1" s="1"/>
  <c r="R1217" i="1"/>
  <c r="G1217" i="1"/>
  <c r="I1217" i="1" s="1"/>
  <c r="AF1216" i="1"/>
  <c r="AE1216" i="1"/>
  <c r="M1216" i="1"/>
  <c r="N1216" i="1" s="1"/>
  <c r="O1216" i="1" s="1"/>
  <c r="I1216" i="1"/>
  <c r="G1216" i="1"/>
  <c r="I1215" i="1"/>
  <c r="G1215" i="1"/>
  <c r="N1214" i="1"/>
  <c r="O1214" i="1" s="1"/>
  <c r="M1214" i="1"/>
  <c r="G1214" i="1"/>
  <c r="I1214" i="1" s="1"/>
  <c r="G1213" i="1"/>
  <c r="I1213" i="1" s="1"/>
  <c r="I1212" i="1"/>
  <c r="G1212" i="1"/>
  <c r="AJ1211" i="1"/>
  <c r="AI1211" i="1"/>
  <c r="G1211" i="1"/>
  <c r="I1211" i="1" s="1"/>
  <c r="G1210" i="1"/>
  <c r="I1210" i="1" s="1"/>
  <c r="I1209" i="1"/>
  <c r="G1209" i="1"/>
  <c r="T1208" i="1"/>
  <c r="R1208" i="1"/>
  <c r="S1208" i="1" s="1"/>
  <c r="I1208" i="1"/>
  <c r="G1208" i="1"/>
  <c r="G1207" i="1"/>
  <c r="I1207" i="1" s="1"/>
  <c r="W1206" i="1"/>
  <c r="X1206" i="1" s="1"/>
  <c r="G1206" i="1"/>
  <c r="I1206" i="1" s="1"/>
  <c r="I1205" i="1"/>
  <c r="G1205" i="1"/>
  <c r="AF1204" i="1"/>
  <c r="AE1204" i="1"/>
  <c r="G1204" i="1"/>
  <c r="I1204" i="1" s="1"/>
  <c r="AE1203" i="1"/>
  <c r="AF1203" i="1" s="1"/>
  <c r="I1203" i="1"/>
  <c r="G1203" i="1"/>
  <c r="I1202" i="1"/>
  <c r="G1202" i="1"/>
  <c r="N1201" i="1"/>
  <c r="O1201" i="1" s="1"/>
  <c r="M1201" i="1"/>
  <c r="G1201" i="1"/>
  <c r="I1201" i="1" s="1"/>
  <c r="AI1200" i="1"/>
  <c r="AJ1200" i="1" s="1"/>
  <c r="I1200" i="1"/>
  <c r="G1200" i="1"/>
  <c r="I1199" i="1"/>
  <c r="G1199" i="1"/>
  <c r="G1198" i="1"/>
  <c r="I1198" i="1" s="1"/>
  <c r="M1197" i="1"/>
  <c r="N1197" i="1" s="1"/>
  <c r="O1197" i="1" s="1"/>
  <c r="G1197" i="1"/>
  <c r="I1197" i="1" s="1"/>
  <c r="G1196" i="1"/>
  <c r="I1196" i="1" s="1"/>
  <c r="AF1195" i="1"/>
  <c r="AE1195" i="1"/>
  <c r="N1195" i="1"/>
  <c r="O1195" i="1" s="1"/>
  <c r="M1195" i="1"/>
  <c r="G1195" i="1"/>
  <c r="I1195" i="1" s="1"/>
  <c r="I1194" i="1"/>
  <c r="G1194" i="1"/>
  <c r="G1193" i="1"/>
  <c r="I1193" i="1" s="1"/>
  <c r="I1192" i="1"/>
  <c r="G1192" i="1"/>
  <c r="AI1191" i="1"/>
  <c r="AJ1191" i="1" s="1"/>
  <c r="G1191" i="1"/>
  <c r="I1191" i="1" s="1"/>
  <c r="AE1190" i="1"/>
  <c r="AF1190" i="1" s="1"/>
  <c r="G1190" i="1"/>
  <c r="I1190" i="1" s="1"/>
  <c r="AE1189" i="1"/>
  <c r="AF1189" i="1" s="1"/>
  <c r="G1189" i="1"/>
  <c r="I1189" i="1" s="1"/>
  <c r="S1188" i="1"/>
  <c r="T1188" i="1" s="1"/>
  <c r="R1188" i="1"/>
  <c r="G1188" i="1"/>
  <c r="I1188" i="1" s="1"/>
  <c r="G1187" i="1"/>
  <c r="I1187" i="1" s="1"/>
  <c r="R1186" i="1"/>
  <c r="S1186" i="1" s="1"/>
  <c r="T1186" i="1" s="1"/>
  <c r="G1186" i="1"/>
  <c r="I1186" i="1" s="1"/>
  <c r="R1185" i="1"/>
  <c r="S1185" i="1" s="1"/>
  <c r="T1185" i="1" s="1"/>
  <c r="I1185" i="1"/>
  <c r="G1185" i="1"/>
  <c r="T1184" i="1"/>
  <c r="R1184" i="1"/>
  <c r="S1184" i="1" s="1"/>
  <c r="G1184" i="1"/>
  <c r="I1184" i="1" s="1"/>
  <c r="AE1183" i="1"/>
  <c r="AF1183" i="1" s="1"/>
  <c r="G1183" i="1"/>
  <c r="I1183" i="1" s="1"/>
  <c r="G1182" i="1"/>
  <c r="I1182" i="1" s="1"/>
  <c r="R1181" i="1"/>
  <c r="S1181" i="1" s="1"/>
  <c r="T1181" i="1" s="1"/>
  <c r="I1181" i="1"/>
  <c r="G1181" i="1"/>
  <c r="R1180" i="1"/>
  <c r="S1180" i="1" s="1"/>
  <c r="T1180" i="1" s="1"/>
  <c r="G1180" i="1"/>
  <c r="I1180" i="1" s="1"/>
  <c r="I1179" i="1"/>
  <c r="G1179" i="1"/>
  <c r="AI1178" i="1"/>
  <c r="AJ1178" i="1" s="1"/>
  <c r="AA1178" i="1"/>
  <c r="AB1178" i="1" s="1"/>
  <c r="W1178" i="1"/>
  <c r="X1178" i="1" s="1"/>
  <c r="G1178" i="1"/>
  <c r="I1178" i="1" s="1"/>
  <c r="N1177" i="1"/>
  <c r="O1177" i="1" s="1"/>
  <c r="M1177" i="1"/>
  <c r="G1177" i="1"/>
  <c r="I1177" i="1" s="1"/>
  <c r="O1176" i="1"/>
  <c r="N1176" i="1"/>
  <c r="M1176" i="1"/>
  <c r="G1176" i="1"/>
  <c r="I1176" i="1" s="1"/>
  <c r="AE1175" i="1"/>
  <c r="AF1175" i="1" s="1"/>
  <c r="G1175" i="1"/>
  <c r="I1175" i="1" s="1"/>
  <c r="AF1174" i="1"/>
  <c r="AE1174" i="1"/>
  <c r="G1174" i="1"/>
  <c r="I1174" i="1" s="1"/>
  <c r="G1173" i="1"/>
  <c r="I1173" i="1" s="1"/>
  <c r="AA1172" i="1"/>
  <c r="AB1172" i="1" s="1"/>
  <c r="I1172" i="1"/>
  <c r="G1172" i="1"/>
  <c r="G1171" i="1"/>
  <c r="I1171" i="1" s="1"/>
  <c r="M1170" i="1"/>
  <c r="N1170" i="1" s="1"/>
  <c r="O1170" i="1" s="1"/>
  <c r="I1170" i="1"/>
  <c r="G1170" i="1"/>
  <c r="AB1169" i="1"/>
  <c r="AA1169" i="1"/>
  <c r="I1169" i="1"/>
  <c r="G1169" i="1"/>
  <c r="W1168" i="1"/>
  <c r="X1168" i="1" s="1"/>
  <c r="G1168" i="1"/>
  <c r="I1168" i="1" s="1"/>
  <c r="I1167" i="1"/>
  <c r="G1167" i="1"/>
  <c r="M1166" i="1"/>
  <c r="N1166" i="1" s="1"/>
  <c r="O1166" i="1" s="1"/>
  <c r="G1166" i="1"/>
  <c r="I1166" i="1" s="1"/>
  <c r="G1165" i="1"/>
  <c r="I1165" i="1" s="1"/>
  <c r="N1164" i="1"/>
  <c r="O1164" i="1" s="1"/>
  <c r="M1164" i="1"/>
  <c r="G1164" i="1"/>
  <c r="I1164" i="1" s="1"/>
  <c r="M1163" i="1"/>
  <c r="N1163" i="1" s="1"/>
  <c r="O1163" i="1" s="1"/>
  <c r="G1163" i="1"/>
  <c r="I1163" i="1" s="1"/>
  <c r="G1162" i="1"/>
  <c r="I1162" i="1" s="1"/>
  <c r="AJ1161" i="1"/>
  <c r="AI1161" i="1"/>
  <c r="G1161" i="1"/>
  <c r="I1161" i="1" s="1"/>
  <c r="AI1160" i="1"/>
  <c r="AJ1160" i="1" s="1"/>
  <c r="AE1160" i="1"/>
  <c r="AF1160" i="1" s="1"/>
  <c r="AA1160" i="1"/>
  <c r="AB1160" i="1" s="1"/>
  <c r="O1160" i="1"/>
  <c r="N1160" i="1"/>
  <c r="M1160" i="1"/>
  <c r="I1160" i="1"/>
  <c r="G1160" i="1"/>
  <c r="S1159" i="1"/>
  <c r="T1159" i="1" s="1"/>
  <c r="R1159" i="1"/>
  <c r="I1159" i="1"/>
  <c r="G1159" i="1"/>
  <c r="S1158" i="1"/>
  <c r="T1158" i="1" s="1"/>
  <c r="R1158" i="1"/>
  <c r="G1158" i="1"/>
  <c r="I1158" i="1" s="1"/>
  <c r="S1157" i="1"/>
  <c r="T1157" i="1" s="1"/>
  <c r="R1157" i="1"/>
  <c r="G1157" i="1"/>
  <c r="I1157" i="1" s="1"/>
  <c r="G1156" i="1"/>
  <c r="I1156" i="1" s="1"/>
  <c r="G1155" i="1"/>
  <c r="I1155" i="1" s="1"/>
  <c r="AF1154" i="1"/>
  <c r="AE1154" i="1"/>
  <c r="G1154" i="1"/>
  <c r="I1154" i="1" s="1"/>
  <c r="G1153" i="1"/>
  <c r="I1153" i="1" s="1"/>
  <c r="I1152" i="1"/>
  <c r="G1152" i="1"/>
  <c r="R1151" i="1"/>
  <c r="S1151" i="1" s="1"/>
  <c r="T1151" i="1" s="1"/>
  <c r="I1151" i="1"/>
  <c r="G1151" i="1"/>
  <c r="G1150" i="1"/>
  <c r="I1150" i="1" s="1"/>
  <c r="T1149" i="1"/>
  <c r="S1149" i="1"/>
  <c r="R1149" i="1"/>
  <c r="G1149" i="1"/>
  <c r="I1149" i="1" s="1"/>
  <c r="R1148" i="1"/>
  <c r="S1148" i="1" s="1"/>
  <c r="T1148" i="1" s="1"/>
  <c r="I1148" i="1"/>
  <c r="G1148" i="1"/>
  <c r="I1147" i="1"/>
  <c r="G1147" i="1"/>
  <c r="I1146" i="1"/>
  <c r="G1146" i="1"/>
  <c r="G1145" i="1"/>
  <c r="I1145" i="1" s="1"/>
  <c r="AB1144" i="1"/>
  <c r="AA1144" i="1"/>
  <c r="W1144" i="1"/>
  <c r="X1144" i="1" s="1"/>
  <c r="I1144" i="1"/>
  <c r="G1144" i="1"/>
  <c r="G1143" i="1"/>
  <c r="I1143" i="1" s="1"/>
  <c r="I1142" i="1"/>
  <c r="G1142" i="1"/>
  <c r="T1141" i="1"/>
  <c r="R1141" i="1"/>
  <c r="S1141" i="1" s="1"/>
  <c r="G1141" i="1"/>
  <c r="I1141" i="1" s="1"/>
  <c r="M1140" i="1"/>
  <c r="N1140" i="1" s="1"/>
  <c r="O1140" i="1" s="1"/>
  <c r="G1140" i="1"/>
  <c r="I1140" i="1" s="1"/>
  <c r="R1139" i="1"/>
  <c r="S1139" i="1" s="1"/>
  <c r="T1139" i="1" s="1"/>
  <c r="I1139" i="1"/>
  <c r="G1139" i="1"/>
  <c r="G1138" i="1"/>
  <c r="I1138" i="1" s="1"/>
  <c r="AF1137" i="1"/>
  <c r="AE1137" i="1"/>
  <c r="G1137" i="1"/>
  <c r="I1137" i="1" s="1"/>
  <c r="AB1136" i="1"/>
  <c r="AA1136" i="1"/>
  <c r="G1136" i="1"/>
  <c r="I1136" i="1" s="1"/>
  <c r="AF1135" i="1"/>
  <c r="AE1135" i="1"/>
  <c r="G1135" i="1"/>
  <c r="I1135" i="1" s="1"/>
  <c r="G1134" i="1"/>
  <c r="I1134" i="1" s="1"/>
  <c r="AE1133" i="1"/>
  <c r="AF1133" i="1" s="1"/>
  <c r="G1133" i="1"/>
  <c r="I1133" i="1" s="1"/>
  <c r="AI1132" i="1"/>
  <c r="AJ1132" i="1" s="1"/>
  <c r="AB1132" i="1"/>
  <c r="AA1132" i="1"/>
  <c r="X1132" i="1"/>
  <c r="W1132" i="1"/>
  <c r="N1132" i="1"/>
  <c r="O1132" i="1" s="1"/>
  <c r="M1132" i="1"/>
  <c r="G1132" i="1"/>
  <c r="I1132" i="1" s="1"/>
  <c r="AF1131" i="1"/>
  <c r="AE1131" i="1"/>
  <c r="T1131" i="1"/>
  <c r="R1131" i="1"/>
  <c r="S1131" i="1" s="1"/>
  <c r="M1131" i="1"/>
  <c r="N1131" i="1" s="1"/>
  <c r="O1131" i="1" s="1"/>
  <c r="G1131" i="1"/>
  <c r="I1131" i="1" s="1"/>
  <c r="AF1130" i="1"/>
  <c r="AE1130" i="1"/>
  <c r="T1130" i="1"/>
  <c r="R1130" i="1"/>
  <c r="S1130" i="1" s="1"/>
  <c r="G1130" i="1"/>
  <c r="I1130" i="1" s="1"/>
  <c r="AF1129" i="1"/>
  <c r="AE1129" i="1"/>
  <c r="T1129" i="1"/>
  <c r="S1129" i="1"/>
  <c r="R1129" i="1"/>
  <c r="M1129" i="1"/>
  <c r="N1129" i="1" s="1"/>
  <c r="O1129" i="1" s="1"/>
  <c r="G1129" i="1"/>
  <c r="I1129" i="1" s="1"/>
  <c r="AI1128" i="1"/>
  <c r="AJ1128" i="1" s="1"/>
  <c r="AA1128" i="1"/>
  <c r="AB1128" i="1" s="1"/>
  <c r="X1128" i="1"/>
  <c r="W1128" i="1"/>
  <c r="G1128" i="1"/>
  <c r="I1128" i="1" s="1"/>
  <c r="AE1127" i="1"/>
  <c r="AF1127" i="1" s="1"/>
  <c r="G1127" i="1"/>
  <c r="I1127" i="1" s="1"/>
  <c r="G1126" i="1"/>
  <c r="I1126" i="1" s="1"/>
  <c r="M1125" i="1"/>
  <c r="N1125" i="1" s="1"/>
  <c r="O1125" i="1" s="1"/>
  <c r="I1125" i="1"/>
  <c r="G1125" i="1"/>
  <c r="AE1124" i="1"/>
  <c r="AF1124" i="1" s="1"/>
  <c r="G1124" i="1"/>
  <c r="I1124" i="1" s="1"/>
  <c r="AA1123" i="1"/>
  <c r="AB1123" i="1" s="1"/>
  <c r="X1123" i="1"/>
  <c r="W1123" i="1"/>
  <c r="G1123" i="1"/>
  <c r="I1123" i="1" s="1"/>
  <c r="AB1122" i="1"/>
  <c r="AA1122" i="1"/>
  <c r="I1122" i="1"/>
  <c r="G1122" i="1"/>
  <c r="AB1121" i="1"/>
  <c r="AA1121" i="1"/>
  <c r="G1121" i="1"/>
  <c r="I1121" i="1" s="1"/>
  <c r="G1120" i="1"/>
  <c r="I1120" i="1" s="1"/>
  <c r="N1119" i="1"/>
  <c r="O1119" i="1" s="1"/>
  <c r="M1119" i="1"/>
  <c r="G1119" i="1"/>
  <c r="I1119" i="1" s="1"/>
  <c r="N1118" i="1"/>
  <c r="O1118" i="1" s="1"/>
  <c r="M1118" i="1"/>
  <c r="I1118" i="1"/>
  <c r="G1118" i="1"/>
  <c r="O1117" i="1"/>
  <c r="M1117" i="1"/>
  <c r="N1117" i="1" s="1"/>
  <c r="G1117" i="1"/>
  <c r="I1117" i="1" s="1"/>
  <c r="AE1116" i="1"/>
  <c r="AF1116" i="1" s="1"/>
  <c r="I1116" i="1"/>
  <c r="G1116" i="1"/>
  <c r="G1115" i="1"/>
  <c r="I1115" i="1" s="1"/>
  <c r="AF1114" i="1"/>
  <c r="AE1114" i="1"/>
  <c r="G1114" i="1"/>
  <c r="I1114" i="1" s="1"/>
  <c r="G1113" i="1"/>
  <c r="I1113" i="1" s="1"/>
  <c r="M1112" i="1"/>
  <c r="N1112" i="1" s="1"/>
  <c r="O1112" i="1" s="1"/>
  <c r="I1112" i="1"/>
  <c r="G1112" i="1"/>
  <c r="M1111" i="1"/>
  <c r="N1111" i="1" s="1"/>
  <c r="O1111" i="1" s="1"/>
  <c r="G1111" i="1"/>
  <c r="I1111" i="1" s="1"/>
  <c r="M1110" i="1"/>
  <c r="N1110" i="1" s="1"/>
  <c r="O1110" i="1" s="1"/>
  <c r="G1110" i="1"/>
  <c r="I1110" i="1" s="1"/>
  <c r="I1109" i="1"/>
  <c r="G1109" i="1"/>
  <c r="AE1108" i="1"/>
  <c r="AF1108" i="1" s="1"/>
  <c r="M1108" i="1"/>
  <c r="N1108" i="1" s="1"/>
  <c r="O1108" i="1" s="1"/>
  <c r="G1108" i="1"/>
  <c r="I1108" i="1" s="1"/>
  <c r="T1107" i="1"/>
  <c r="G1107" i="1"/>
  <c r="I1107" i="1" s="1"/>
  <c r="AI1106" i="1"/>
  <c r="AJ1106" i="1" s="1"/>
  <c r="AA1106" i="1"/>
  <c r="AB1106" i="1" s="1"/>
  <c r="I1106" i="1"/>
  <c r="G1106" i="1"/>
  <c r="G1105" i="1"/>
  <c r="I1105" i="1" s="1"/>
  <c r="S1104" i="1"/>
  <c r="T1104" i="1" s="1"/>
  <c r="R1104" i="1"/>
  <c r="G1104" i="1"/>
  <c r="I1104" i="1" s="1"/>
  <c r="R1103" i="1"/>
  <c r="S1103" i="1" s="1"/>
  <c r="T1103" i="1" s="1"/>
  <c r="G1103" i="1"/>
  <c r="I1103" i="1" s="1"/>
  <c r="G1102" i="1"/>
  <c r="I1102" i="1" s="1"/>
  <c r="T1101" i="1"/>
  <c r="R1101" i="1"/>
  <c r="S1101" i="1" s="1"/>
  <c r="I1101" i="1"/>
  <c r="G1101" i="1"/>
  <c r="G1100" i="1"/>
  <c r="I1100" i="1" s="1"/>
  <c r="S1099" i="1"/>
  <c r="T1099" i="1" s="1"/>
  <c r="R1099" i="1"/>
  <c r="M1099" i="1"/>
  <c r="N1099" i="1" s="1"/>
  <c r="O1099" i="1" s="1"/>
  <c r="G1099" i="1"/>
  <c r="I1099" i="1" s="1"/>
  <c r="G1098" i="1"/>
  <c r="I1098" i="1" s="1"/>
  <c r="AA1097" i="1"/>
  <c r="AB1097" i="1" s="1"/>
  <c r="X1097" i="1"/>
  <c r="W1097" i="1"/>
  <c r="I1097" i="1"/>
  <c r="G1097" i="1"/>
  <c r="S1096" i="1"/>
  <c r="T1096" i="1" s="1"/>
  <c r="R1096" i="1"/>
  <c r="G1096" i="1"/>
  <c r="I1096" i="1" s="1"/>
  <c r="I1095" i="1"/>
  <c r="G1095" i="1"/>
  <c r="O1094" i="1"/>
  <c r="N1094" i="1"/>
  <c r="M1094" i="1"/>
  <c r="G1094" i="1"/>
  <c r="I1094" i="1" s="1"/>
  <c r="O1093" i="1"/>
  <c r="M1093" i="1"/>
  <c r="N1093" i="1" s="1"/>
  <c r="G1093" i="1"/>
  <c r="I1093" i="1" s="1"/>
  <c r="O1092" i="1"/>
  <c r="M1092" i="1"/>
  <c r="N1092" i="1" s="1"/>
  <c r="G1092" i="1"/>
  <c r="I1092" i="1" s="1"/>
  <c r="O1091" i="1"/>
  <c r="N1091" i="1"/>
  <c r="M1091" i="1"/>
  <c r="I1091" i="1"/>
  <c r="G1091" i="1"/>
  <c r="G1090" i="1"/>
  <c r="I1090" i="1" s="1"/>
  <c r="R1089" i="1"/>
  <c r="S1089" i="1" s="1"/>
  <c r="T1089" i="1" s="1"/>
  <c r="I1089" i="1"/>
  <c r="G1089" i="1"/>
  <c r="G1088" i="1"/>
  <c r="I1088" i="1" s="1"/>
  <c r="M1087" i="1"/>
  <c r="N1087" i="1" s="1"/>
  <c r="O1087" i="1" s="1"/>
  <c r="G1087" i="1"/>
  <c r="I1087" i="1" s="1"/>
  <c r="T1086" i="1"/>
  <c r="R1086" i="1"/>
  <c r="S1086" i="1" s="1"/>
  <c r="I1086" i="1"/>
  <c r="G1086" i="1"/>
  <c r="R1085" i="1"/>
  <c r="S1085" i="1" s="1"/>
  <c r="T1085" i="1" s="1"/>
  <c r="I1085" i="1"/>
  <c r="G1085" i="1"/>
  <c r="G1084" i="1"/>
  <c r="I1084" i="1" s="1"/>
  <c r="I1083" i="1"/>
  <c r="G1083" i="1"/>
  <c r="R1082" i="1"/>
  <c r="S1082" i="1" s="1"/>
  <c r="T1082" i="1" s="1"/>
  <c r="G1082" i="1"/>
  <c r="I1082" i="1" s="1"/>
  <c r="I1081" i="1"/>
  <c r="G1081" i="1"/>
  <c r="X1080" i="1"/>
  <c r="W1080" i="1"/>
  <c r="G1080" i="1"/>
  <c r="I1080" i="1" s="1"/>
  <c r="R1079" i="1"/>
  <c r="S1079" i="1" s="1"/>
  <c r="T1079" i="1" s="1"/>
  <c r="G1079" i="1"/>
  <c r="I1079" i="1" s="1"/>
  <c r="S1078" i="1"/>
  <c r="T1078" i="1" s="1"/>
  <c r="R1078" i="1"/>
  <c r="G1078" i="1"/>
  <c r="I1078" i="1" s="1"/>
  <c r="G1077" i="1"/>
  <c r="I1077" i="1" s="1"/>
  <c r="G1076" i="1"/>
  <c r="I1076" i="1" s="1"/>
  <c r="G1075" i="1"/>
  <c r="I1075" i="1" s="1"/>
  <c r="W1074" i="1"/>
  <c r="X1074" i="1" s="1"/>
  <c r="G1074" i="1"/>
  <c r="I1074" i="1" s="1"/>
  <c r="I1073" i="1"/>
  <c r="G1073" i="1"/>
  <c r="AF1072" i="1"/>
  <c r="AE1072" i="1"/>
  <c r="G1072" i="1"/>
  <c r="I1072" i="1" s="1"/>
  <c r="M1071" i="1"/>
  <c r="N1071" i="1" s="1"/>
  <c r="O1071" i="1" s="1"/>
  <c r="I1071" i="1"/>
  <c r="G1071" i="1"/>
  <c r="I1070" i="1"/>
  <c r="G1070" i="1"/>
  <c r="N1069" i="1"/>
  <c r="O1069" i="1" s="1"/>
  <c r="M1069" i="1"/>
  <c r="G1069" i="1"/>
  <c r="I1069" i="1" s="1"/>
  <c r="AI1068" i="1"/>
  <c r="AJ1068" i="1" s="1"/>
  <c r="R1068" i="1"/>
  <c r="S1068" i="1" s="1"/>
  <c r="T1068" i="1" s="1"/>
  <c r="G1068" i="1"/>
  <c r="I1068" i="1" s="1"/>
  <c r="AI1067" i="1"/>
  <c r="AJ1067" i="1" s="1"/>
  <c r="I1067" i="1"/>
  <c r="G1067" i="1"/>
  <c r="G1066" i="1"/>
  <c r="I1066" i="1" s="1"/>
  <c r="M1065" i="1"/>
  <c r="N1065" i="1" s="1"/>
  <c r="O1065" i="1" s="1"/>
  <c r="G1065" i="1"/>
  <c r="I1065" i="1" s="1"/>
  <c r="G1064" i="1"/>
  <c r="I1064" i="1" s="1"/>
  <c r="M1063" i="1"/>
  <c r="N1063" i="1" s="1"/>
  <c r="O1063" i="1" s="1"/>
  <c r="G1063" i="1"/>
  <c r="I1063" i="1" s="1"/>
  <c r="I1062" i="1"/>
  <c r="G1062" i="1"/>
  <c r="AE1061" i="1"/>
  <c r="AF1061" i="1" s="1"/>
  <c r="AB1061" i="1"/>
  <c r="AA1061" i="1"/>
  <c r="I1061" i="1"/>
  <c r="G1061" i="1"/>
  <c r="I1060" i="1"/>
  <c r="G1060" i="1"/>
  <c r="G1059" i="1"/>
  <c r="I1059" i="1" s="1"/>
  <c r="AE1058" i="1"/>
  <c r="AF1058" i="1" s="1"/>
  <c r="I1058" i="1"/>
  <c r="G1058" i="1"/>
  <c r="AB1057" i="1"/>
  <c r="AA1057" i="1"/>
  <c r="G1057" i="1"/>
  <c r="I1057" i="1" s="1"/>
  <c r="G1056" i="1"/>
  <c r="I1056" i="1" s="1"/>
  <c r="M1055" i="1"/>
  <c r="N1055" i="1" s="1"/>
  <c r="O1055" i="1" s="1"/>
  <c r="G1055" i="1"/>
  <c r="I1055" i="1" s="1"/>
  <c r="I1054" i="1"/>
  <c r="G1054" i="1"/>
  <c r="G1053" i="1"/>
  <c r="I1053" i="1" s="1"/>
  <c r="X1052" i="1"/>
  <c r="W1052" i="1"/>
  <c r="R1052" i="1"/>
  <c r="S1052" i="1" s="1"/>
  <c r="T1052" i="1" s="1"/>
  <c r="G1052" i="1"/>
  <c r="I1052" i="1" s="1"/>
  <c r="I1051" i="1"/>
  <c r="G1051" i="1"/>
  <c r="I1050" i="1"/>
  <c r="G1050" i="1"/>
  <c r="AI1049" i="1"/>
  <c r="AJ1049" i="1" s="1"/>
  <c r="AF1049" i="1"/>
  <c r="AE1049" i="1"/>
  <c r="I1049" i="1"/>
  <c r="G1049" i="1"/>
  <c r="R1048" i="1"/>
  <c r="S1048" i="1" s="1"/>
  <c r="T1048" i="1" s="1"/>
  <c r="G1048" i="1"/>
  <c r="I1048" i="1" s="1"/>
  <c r="I1047" i="1"/>
  <c r="G1047" i="1"/>
  <c r="O1046" i="1"/>
  <c r="N1046" i="1"/>
  <c r="M1046" i="1"/>
  <c r="G1046" i="1"/>
  <c r="I1046" i="1" s="1"/>
  <c r="G1045" i="1"/>
  <c r="I1045" i="1" s="1"/>
  <c r="AB1044" i="1"/>
  <c r="AA1044" i="1"/>
  <c r="X1044" i="1"/>
  <c r="W1044" i="1"/>
  <c r="G1044" i="1"/>
  <c r="I1044" i="1" s="1"/>
  <c r="G1043" i="1"/>
  <c r="I1043" i="1" s="1"/>
  <c r="S1042" i="1"/>
  <c r="T1042" i="1" s="1"/>
  <c r="R1042" i="1"/>
  <c r="G1042" i="1"/>
  <c r="I1042" i="1" s="1"/>
  <c r="G1041" i="1"/>
  <c r="I1041" i="1" s="1"/>
  <c r="AI1040" i="1"/>
  <c r="AJ1040" i="1" s="1"/>
  <c r="AE1040" i="1"/>
  <c r="AF1040" i="1" s="1"/>
  <c r="AA1040" i="1"/>
  <c r="AB1040" i="1" s="1"/>
  <c r="M1040" i="1"/>
  <c r="N1040" i="1" s="1"/>
  <c r="O1040" i="1" s="1"/>
  <c r="G1040" i="1"/>
  <c r="I1040" i="1" s="1"/>
  <c r="AB1039" i="1"/>
  <c r="AA1039" i="1"/>
  <c r="G1039" i="1"/>
  <c r="I1039" i="1" s="1"/>
  <c r="AB1038" i="1"/>
  <c r="AA1038" i="1"/>
  <c r="G1038" i="1"/>
  <c r="I1038" i="1" s="1"/>
  <c r="X1037" i="1"/>
  <c r="W1037" i="1"/>
  <c r="G1037" i="1"/>
  <c r="I1037" i="1" s="1"/>
  <c r="G1036" i="1"/>
  <c r="I1036" i="1" s="1"/>
  <c r="G1035" i="1"/>
  <c r="I1035" i="1" s="1"/>
  <c r="M1034" i="1"/>
  <c r="N1034" i="1" s="1"/>
  <c r="O1034" i="1" s="1"/>
  <c r="G1034" i="1"/>
  <c r="I1034" i="1" s="1"/>
  <c r="N1033" i="1"/>
  <c r="O1033" i="1" s="1"/>
  <c r="M1033" i="1"/>
  <c r="I1033" i="1"/>
  <c r="G1033" i="1"/>
  <c r="G1032" i="1"/>
  <c r="I1032" i="1" s="1"/>
  <c r="AJ1031" i="1"/>
  <c r="AI1031" i="1"/>
  <c r="AE1031" i="1"/>
  <c r="AF1031" i="1" s="1"/>
  <c r="I1031" i="1"/>
  <c r="G1031" i="1"/>
  <c r="AI1030" i="1"/>
  <c r="AJ1030" i="1" s="1"/>
  <c r="I1030" i="1"/>
  <c r="G1030" i="1"/>
  <c r="O1029" i="1"/>
  <c r="M1029" i="1"/>
  <c r="N1029" i="1" s="1"/>
  <c r="G1029" i="1"/>
  <c r="I1029" i="1" s="1"/>
  <c r="G1028" i="1"/>
  <c r="I1028" i="1" s="1"/>
  <c r="I1027" i="1"/>
  <c r="G1027" i="1"/>
  <c r="AB1026" i="1"/>
  <c r="AA1026" i="1"/>
  <c r="R1026" i="1"/>
  <c r="S1026" i="1" s="1"/>
  <c r="T1026" i="1" s="1"/>
  <c r="G1026" i="1"/>
  <c r="I1026" i="1" s="1"/>
  <c r="G1025" i="1"/>
  <c r="I1025" i="1" s="1"/>
  <c r="R1024" i="1"/>
  <c r="S1024" i="1" s="1"/>
  <c r="T1024" i="1" s="1"/>
  <c r="G1024" i="1"/>
  <c r="I1024" i="1" s="1"/>
  <c r="AA1023" i="1"/>
  <c r="AB1023" i="1" s="1"/>
  <c r="G1023" i="1"/>
  <c r="I1023" i="1" s="1"/>
  <c r="R1022" i="1"/>
  <c r="S1022" i="1" s="1"/>
  <c r="T1022" i="1" s="1"/>
  <c r="I1022" i="1"/>
  <c r="G1022" i="1"/>
  <c r="AB1021" i="1"/>
  <c r="AA1021" i="1"/>
  <c r="I1021" i="1"/>
  <c r="G1021" i="1"/>
  <c r="G1020" i="1"/>
  <c r="I1020" i="1" s="1"/>
  <c r="AF1019" i="1"/>
  <c r="AE1019" i="1"/>
  <c r="G1019" i="1"/>
  <c r="I1019" i="1" s="1"/>
  <c r="R1018" i="1"/>
  <c r="S1018" i="1" s="1"/>
  <c r="T1018" i="1" s="1"/>
  <c r="G1018" i="1"/>
  <c r="I1018" i="1" s="1"/>
  <c r="AE1017" i="1"/>
  <c r="AF1017" i="1" s="1"/>
  <c r="G1017" i="1"/>
  <c r="I1017" i="1" s="1"/>
  <c r="R1016" i="1"/>
  <c r="S1016" i="1" s="1"/>
  <c r="T1016" i="1" s="1"/>
  <c r="G1016" i="1"/>
  <c r="I1016" i="1" s="1"/>
  <c r="G1015" i="1"/>
  <c r="I1015" i="1" s="1"/>
  <c r="AJ1014" i="1"/>
  <c r="AI1014" i="1"/>
  <c r="G1014" i="1"/>
  <c r="I1014" i="1" s="1"/>
  <c r="AI1013" i="1"/>
  <c r="AJ1013" i="1" s="1"/>
  <c r="G1013" i="1"/>
  <c r="I1013" i="1" s="1"/>
  <c r="I1012" i="1"/>
  <c r="G1012" i="1"/>
  <c r="G1011" i="1"/>
  <c r="I1011" i="1" s="1"/>
  <c r="AF1010" i="1"/>
  <c r="AE1010" i="1"/>
  <c r="G1010" i="1"/>
  <c r="I1010" i="1" s="1"/>
  <c r="I1009" i="1"/>
  <c r="G1009" i="1"/>
  <c r="G1008" i="1"/>
  <c r="I1008" i="1" s="1"/>
  <c r="G1007" i="1"/>
  <c r="I1007" i="1" s="1"/>
  <c r="G1006" i="1"/>
  <c r="I1006" i="1" s="1"/>
  <c r="R1005" i="1"/>
  <c r="S1005" i="1" s="1"/>
  <c r="T1005" i="1" s="1"/>
  <c r="G1005" i="1"/>
  <c r="I1005" i="1" s="1"/>
  <c r="S1004" i="1"/>
  <c r="T1004" i="1" s="1"/>
  <c r="R1004" i="1"/>
  <c r="I1004" i="1"/>
  <c r="G1004" i="1"/>
  <c r="G1003" i="1"/>
  <c r="I1003" i="1" s="1"/>
  <c r="AF1002" i="1"/>
  <c r="AE1002" i="1"/>
  <c r="AA1002" i="1"/>
  <c r="AB1002" i="1" s="1"/>
  <c r="X1002" i="1"/>
  <c r="W1002" i="1"/>
  <c r="G1002" i="1"/>
  <c r="I1002" i="1" s="1"/>
  <c r="R1001" i="1"/>
  <c r="S1001" i="1" s="1"/>
  <c r="T1001" i="1" s="1"/>
  <c r="G1001" i="1"/>
  <c r="I1001" i="1" s="1"/>
  <c r="G1000" i="1"/>
  <c r="I1000" i="1" s="1"/>
  <c r="G999" i="1"/>
  <c r="I999" i="1" s="1"/>
  <c r="R998" i="1"/>
  <c r="S998" i="1" s="1"/>
  <c r="T998" i="1" s="1"/>
  <c r="I998" i="1"/>
  <c r="G998" i="1"/>
  <c r="G997" i="1"/>
  <c r="I997" i="1" s="1"/>
  <c r="G996" i="1"/>
  <c r="I996" i="1" s="1"/>
  <c r="R995" i="1"/>
  <c r="S995" i="1" s="1"/>
  <c r="T995" i="1" s="1"/>
  <c r="G995" i="1"/>
  <c r="I995" i="1" s="1"/>
  <c r="X994" i="1"/>
  <c r="W994" i="1"/>
  <c r="R994" i="1"/>
  <c r="S994" i="1" s="1"/>
  <c r="T994" i="1" s="1"/>
  <c r="O994" i="1"/>
  <c r="M994" i="1"/>
  <c r="N994" i="1" s="1"/>
  <c r="G994" i="1"/>
  <c r="I994" i="1" s="1"/>
  <c r="AE993" i="1"/>
  <c r="AF993" i="1" s="1"/>
  <c r="G993" i="1"/>
  <c r="I993" i="1" s="1"/>
  <c r="AE992" i="1"/>
  <c r="AF992" i="1" s="1"/>
  <c r="I992" i="1"/>
  <c r="G992" i="1"/>
  <c r="AF991" i="1"/>
  <c r="AE991" i="1"/>
  <c r="G991" i="1"/>
  <c r="I991" i="1" s="1"/>
  <c r="M990" i="1"/>
  <c r="N990" i="1" s="1"/>
  <c r="O990" i="1" s="1"/>
  <c r="G990" i="1"/>
  <c r="I990" i="1" s="1"/>
  <c r="AE989" i="1"/>
  <c r="AF989" i="1" s="1"/>
  <c r="I989" i="1"/>
  <c r="G989" i="1"/>
  <c r="AA988" i="1"/>
  <c r="AB988" i="1" s="1"/>
  <c r="X988" i="1"/>
  <c r="W988" i="1"/>
  <c r="I988" i="1"/>
  <c r="G988" i="1"/>
  <c r="AF987" i="1"/>
  <c r="AE987" i="1"/>
  <c r="G987" i="1"/>
  <c r="I987" i="1" s="1"/>
  <c r="AA986" i="1"/>
  <c r="AB986" i="1" s="1"/>
  <c r="T986" i="1"/>
  <c r="S986" i="1"/>
  <c r="R986" i="1"/>
  <c r="M986" i="1"/>
  <c r="N986" i="1" s="1"/>
  <c r="O986" i="1" s="1"/>
  <c r="G986" i="1"/>
  <c r="I986" i="1" s="1"/>
  <c r="AI985" i="1"/>
  <c r="AJ985" i="1" s="1"/>
  <c r="I985" i="1"/>
  <c r="G985" i="1"/>
  <c r="M984" i="1"/>
  <c r="N984" i="1" s="1"/>
  <c r="O984" i="1" s="1"/>
  <c r="G984" i="1"/>
  <c r="I984" i="1" s="1"/>
  <c r="N983" i="1"/>
  <c r="O983" i="1" s="1"/>
  <c r="M983" i="1"/>
  <c r="G983" i="1"/>
  <c r="I983" i="1" s="1"/>
  <c r="N982" i="1"/>
  <c r="O982" i="1" s="1"/>
  <c r="M982" i="1"/>
  <c r="G982" i="1"/>
  <c r="I982" i="1" s="1"/>
  <c r="M981" i="1"/>
  <c r="N981" i="1" s="1"/>
  <c r="O981" i="1" s="1"/>
  <c r="G981" i="1"/>
  <c r="I981" i="1" s="1"/>
  <c r="N980" i="1"/>
  <c r="O980" i="1" s="1"/>
  <c r="M980" i="1"/>
  <c r="G980" i="1"/>
  <c r="I980" i="1" s="1"/>
  <c r="N979" i="1"/>
  <c r="O979" i="1" s="1"/>
  <c r="M979" i="1"/>
  <c r="I979" i="1"/>
  <c r="G979" i="1"/>
  <c r="T978" i="1"/>
  <c r="R978" i="1"/>
  <c r="S978" i="1" s="1"/>
  <c r="G978" i="1"/>
  <c r="I978" i="1" s="1"/>
  <c r="G977" i="1"/>
  <c r="I977" i="1" s="1"/>
  <c r="O976" i="1"/>
  <c r="N976" i="1"/>
  <c r="M976" i="1"/>
  <c r="G976" i="1"/>
  <c r="I976" i="1" s="1"/>
  <c r="M975" i="1"/>
  <c r="N975" i="1" s="1"/>
  <c r="O975" i="1" s="1"/>
  <c r="I975" i="1"/>
  <c r="G975" i="1"/>
  <c r="M974" i="1"/>
  <c r="N974" i="1" s="1"/>
  <c r="O974" i="1" s="1"/>
  <c r="I974" i="1"/>
  <c r="G974" i="1"/>
  <c r="M973" i="1"/>
  <c r="N973" i="1" s="1"/>
  <c r="O973" i="1" s="1"/>
  <c r="G973" i="1"/>
  <c r="I973" i="1" s="1"/>
  <c r="T972" i="1"/>
  <c r="G972" i="1"/>
  <c r="I972" i="1" s="1"/>
  <c r="M971" i="1"/>
  <c r="N971" i="1" s="1"/>
  <c r="O971" i="1" s="1"/>
  <c r="G971" i="1"/>
  <c r="I971" i="1" s="1"/>
  <c r="N970" i="1"/>
  <c r="O970" i="1" s="1"/>
  <c r="M970" i="1"/>
  <c r="I970" i="1"/>
  <c r="G970" i="1"/>
  <c r="M969" i="1"/>
  <c r="N969" i="1" s="1"/>
  <c r="O969" i="1" s="1"/>
  <c r="G969" i="1"/>
  <c r="I969" i="1" s="1"/>
  <c r="R968" i="1"/>
  <c r="S968" i="1" s="1"/>
  <c r="T968" i="1" s="1"/>
  <c r="I968" i="1"/>
  <c r="G968" i="1"/>
  <c r="AI967" i="1"/>
  <c r="AJ967" i="1" s="1"/>
  <c r="X967" i="1"/>
  <c r="W967" i="1"/>
  <c r="I967" i="1"/>
  <c r="G967" i="1"/>
  <c r="AF966" i="1"/>
  <c r="AE966" i="1"/>
  <c r="G966" i="1"/>
  <c r="I966" i="1" s="1"/>
  <c r="G965" i="1"/>
  <c r="I965" i="1" s="1"/>
  <c r="AJ964" i="1"/>
  <c r="AI964" i="1"/>
  <c r="AF964" i="1"/>
  <c r="AE964" i="1"/>
  <c r="R964" i="1"/>
  <c r="S964" i="1" s="1"/>
  <c r="T964" i="1" s="1"/>
  <c r="G964" i="1"/>
  <c r="I964" i="1" s="1"/>
  <c r="N963" i="1"/>
  <c r="O963" i="1" s="1"/>
  <c r="M963" i="1"/>
  <c r="I963" i="1"/>
  <c r="G963" i="1"/>
  <c r="M962" i="1"/>
  <c r="N962" i="1" s="1"/>
  <c r="O962" i="1" s="1"/>
  <c r="G962" i="1"/>
  <c r="I962" i="1" s="1"/>
  <c r="R961" i="1"/>
  <c r="S961" i="1" s="1"/>
  <c r="T961" i="1" s="1"/>
  <c r="G961" i="1"/>
  <c r="I961" i="1" s="1"/>
  <c r="AE960" i="1"/>
  <c r="AF960" i="1" s="1"/>
  <c r="I960" i="1"/>
  <c r="G960" i="1"/>
  <c r="S959" i="1"/>
  <c r="T959" i="1" s="1"/>
  <c r="R959" i="1"/>
  <c r="G959" i="1"/>
  <c r="I959" i="1" s="1"/>
  <c r="T958" i="1"/>
  <c r="S958" i="1"/>
  <c r="R958" i="1"/>
  <c r="G958" i="1"/>
  <c r="I958" i="1" s="1"/>
  <c r="M957" i="1"/>
  <c r="N957" i="1" s="1"/>
  <c r="O957" i="1" s="1"/>
  <c r="G957" i="1"/>
  <c r="I957" i="1" s="1"/>
  <c r="N956" i="1"/>
  <c r="O956" i="1" s="1"/>
  <c r="M956" i="1"/>
  <c r="I956" i="1"/>
  <c r="G956" i="1"/>
  <c r="M955" i="1"/>
  <c r="N955" i="1" s="1"/>
  <c r="O955" i="1" s="1"/>
  <c r="I955" i="1"/>
  <c r="G955" i="1"/>
  <c r="AE954" i="1"/>
  <c r="AF954" i="1" s="1"/>
  <c r="G954" i="1"/>
  <c r="I954" i="1" s="1"/>
  <c r="AI953" i="1"/>
  <c r="AJ953" i="1" s="1"/>
  <c r="I953" i="1"/>
  <c r="G953" i="1"/>
  <c r="N952" i="1"/>
  <c r="O952" i="1" s="1"/>
  <c r="M952" i="1"/>
  <c r="G952" i="1"/>
  <c r="I952" i="1" s="1"/>
  <c r="M951" i="1"/>
  <c r="N951" i="1" s="1"/>
  <c r="O951" i="1" s="1"/>
  <c r="G951" i="1"/>
  <c r="I951" i="1" s="1"/>
  <c r="R950" i="1"/>
  <c r="S950" i="1" s="1"/>
  <c r="T950" i="1" s="1"/>
  <c r="G950" i="1"/>
  <c r="I950" i="1" s="1"/>
  <c r="R949" i="1"/>
  <c r="S949" i="1" s="1"/>
  <c r="T949" i="1" s="1"/>
  <c r="G949" i="1"/>
  <c r="I949" i="1" s="1"/>
  <c r="M948" i="1"/>
  <c r="N948" i="1" s="1"/>
  <c r="O948" i="1" s="1"/>
  <c r="I948" i="1"/>
  <c r="G948" i="1"/>
  <c r="AJ947" i="1"/>
  <c r="AI947" i="1"/>
  <c r="AE947" i="1"/>
  <c r="AF947" i="1" s="1"/>
  <c r="AA947" i="1"/>
  <c r="AB947" i="1" s="1"/>
  <c r="I947" i="1"/>
  <c r="G947" i="1"/>
  <c r="X946" i="1"/>
  <c r="W946" i="1"/>
  <c r="G946" i="1"/>
  <c r="I946" i="1" s="1"/>
  <c r="AF945" i="1"/>
  <c r="AE945" i="1"/>
  <c r="T945" i="1"/>
  <c r="R945" i="1"/>
  <c r="S945" i="1" s="1"/>
  <c r="M945" i="1"/>
  <c r="N945" i="1" s="1"/>
  <c r="O945" i="1" s="1"/>
  <c r="G945" i="1"/>
  <c r="I945" i="1" s="1"/>
  <c r="AF944" i="1"/>
  <c r="AE944" i="1"/>
  <c r="R944" i="1"/>
  <c r="S944" i="1" s="1"/>
  <c r="T944" i="1" s="1"/>
  <c r="G944" i="1"/>
  <c r="I944" i="1" s="1"/>
  <c r="I943" i="1"/>
  <c r="G943" i="1"/>
  <c r="S942" i="1"/>
  <c r="T942" i="1" s="1"/>
  <c r="R942" i="1"/>
  <c r="G942" i="1"/>
  <c r="I942" i="1" s="1"/>
  <c r="AI941" i="1"/>
  <c r="AJ941" i="1" s="1"/>
  <c r="I941" i="1"/>
  <c r="G941" i="1"/>
  <c r="R940" i="1"/>
  <c r="S940" i="1" s="1"/>
  <c r="T940" i="1" s="1"/>
  <c r="M940" i="1"/>
  <c r="N940" i="1" s="1"/>
  <c r="O940" i="1" s="1"/>
  <c r="I940" i="1"/>
  <c r="G940" i="1"/>
  <c r="R939" i="1"/>
  <c r="S939" i="1" s="1"/>
  <c r="T939" i="1" s="1"/>
  <c r="G939" i="1"/>
  <c r="I939" i="1" s="1"/>
  <c r="I938" i="1"/>
  <c r="G938" i="1"/>
  <c r="S937" i="1"/>
  <c r="T937" i="1" s="1"/>
  <c r="R937" i="1"/>
  <c r="G937" i="1"/>
  <c r="I937" i="1" s="1"/>
  <c r="S936" i="1"/>
  <c r="T936" i="1" s="1"/>
  <c r="R936" i="1"/>
  <c r="G936" i="1"/>
  <c r="I936" i="1" s="1"/>
  <c r="R935" i="1"/>
  <c r="S935" i="1" s="1"/>
  <c r="T935" i="1" s="1"/>
  <c r="G935" i="1"/>
  <c r="I935" i="1" s="1"/>
  <c r="R934" i="1"/>
  <c r="S934" i="1" s="1"/>
  <c r="T934" i="1" s="1"/>
  <c r="G934" i="1"/>
  <c r="I934" i="1" s="1"/>
  <c r="G933" i="1"/>
  <c r="I933" i="1" s="1"/>
  <c r="O932" i="1"/>
  <c r="N932" i="1"/>
  <c r="M932" i="1"/>
  <c r="I932" i="1"/>
  <c r="G932" i="1"/>
  <c r="G931" i="1"/>
  <c r="I931" i="1" s="1"/>
  <c r="M930" i="1"/>
  <c r="N930" i="1" s="1"/>
  <c r="O930" i="1" s="1"/>
  <c r="G930" i="1"/>
  <c r="I930" i="1" s="1"/>
  <c r="G929" i="1"/>
  <c r="I929" i="1" s="1"/>
  <c r="AE928" i="1"/>
  <c r="AF928" i="1" s="1"/>
  <c r="G928" i="1"/>
  <c r="I928" i="1" s="1"/>
  <c r="N927" i="1"/>
  <c r="O927" i="1" s="1"/>
  <c r="M927" i="1"/>
  <c r="G927" i="1"/>
  <c r="I927" i="1" s="1"/>
  <c r="M926" i="1"/>
  <c r="N926" i="1" s="1"/>
  <c r="O926" i="1" s="1"/>
  <c r="G926" i="1"/>
  <c r="I926" i="1" s="1"/>
  <c r="M925" i="1"/>
  <c r="N925" i="1" s="1"/>
  <c r="O925" i="1" s="1"/>
  <c r="I925" i="1"/>
  <c r="G925" i="1"/>
  <c r="I924" i="1"/>
  <c r="G924" i="1"/>
  <c r="I923" i="1"/>
  <c r="G923" i="1"/>
  <c r="AI922" i="1"/>
  <c r="AJ922" i="1" s="1"/>
  <c r="I922" i="1"/>
  <c r="G922" i="1"/>
  <c r="R921" i="1"/>
  <c r="S921" i="1" s="1"/>
  <c r="T921" i="1" s="1"/>
  <c r="G921" i="1"/>
  <c r="I921" i="1" s="1"/>
  <c r="R920" i="1"/>
  <c r="S920" i="1" s="1"/>
  <c r="T920" i="1" s="1"/>
  <c r="I920" i="1"/>
  <c r="G920" i="1"/>
  <c r="T919" i="1"/>
  <c r="G919" i="1"/>
  <c r="I919" i="1" s="1"/>
  <c r="S918" i="1"/>
  <c r="T918" i="1" s="1"/>
  <c r="R918" i="1"/>
  <c r="I918" i="1"/>
  <c r="G918" i="1"/>
  <c r="X917" i="1"/>
  <c r="W917" i="1"/>
  <c r="G917" i="1"/>
  <c r="I917" i="1" s="1"/>
  <c r="AA916" i="1"/>
  <c r="AB916" i="1" s="1"/>
  <c r="I916" i="1"/>
  <c r="G916" i="1"/>
  <c r="AF915" i="1"/>
  <c r="AE915" i="1"/>
  <c r="G915" i="1"/>
  <c r="I915" i="1" s="1"/>
  <c r="O914" i="1"/>
  <c r="M914" i="1"/>
  <c r="N914" i="1" s="1"/>
  <c r="G914" i="1"/>
  <c r="I914" i="1" s="1"/>
  <c r="G913" i="1"/>
  <c r="I913" i="1" s="1"/>
  <c r="AE912" i="1"/>
  <c r="AF912" i="1" s="1"/>
  <c r="W912" i="1"/>
  <c r="X912" i="1" s="1"/>
  <c r="G912" i="1"/>
  <c r="I912" i="1" s="1"/>
  <c r="AE911" i="1"/>
  <c r="AF911" i="1" s="1"/>
  <c r="G911" i="1"/>
  <c r="I911" i="1" s="1"/>
  <c r="G910" i="1"/>
  <c r="I910" i="1" s="1"/>
  <c r="G909" i="1"/>
  <c r="I909" i="1" s="1"/>
  <c r="AE908" i="1"/>
  <c r="AF908" i="1" s="1"/>
  <c r="M908" i="1"/>
  <c r="N908" i="1" s="1"/>
  <c r="O908" i="1" s="1"/>
  <c r="I908" i="1"/>
  <c r="G908" i="1"/>
  <c r="I907" i="1"/>
  <c r="G907" i="1"/>
  <c r="AE906" i="1"/>
  <c r="AF906" i="1" s="1"/>
  <c r="M906" i="1"/>
  <c r="N906" i="1" s="1"/>
  <c r="O906" i="1" s="1"/>
  <c r="G906" i="1"/>
  <c r="I906" i="1" s="1"/>
  <c r="AA905" i="1"/>
  <c r="AB905" i="1" s="1"/>
  <c r="W905" i="1"/>
  <c r="X905" i="1" s="1"/>
  <c r="S905" i="1"/>
  <c r="T905" i="1" s="1"/>
  <c r="R905" i="1"/>
  <c r="I905" i="1"/>
  <c r="G905" i="1"/>
  <c r="G904" i="1"/>
  <c r="I904" i="1" s="1"/>
  <c r="I903" i="1"/>
  <c r="G903" i="1"/>
  <c r="M902" i="1"/>
  <c r="N902" i="1" s="1"/>
  <c r="O902" i="1" s="1"/>
  <c r="G902" i="1"/>
  <c r="I902" i="1" s="1"/>
  <c r="M901" i="1"/>
  <c r="N901" i="1" s="1"/>
  <c r="O901" i="1" s="1"/>
  <c r="I901" i="1"/>
  <c r="G901" i="1"/>
  <c r="M900" i="1"/>
  <c r="N900" i="1" s="1"/>
  <c r="O900" i="1" s="1"/>
  <c r="G900" i="1"/>
  <c r="I900" i="1" s="1"/>
  <c r="N899" i="1"/>
  <c r="O899" i="1" s="1"/>
  <c r="M899" i="1"/>
  <c r="I899" i="1"/>
  <c r="G899" i="1"/>
  <c r="AE898" i="1"/>
  <c r="AF898" i="1" s="1"/>
  <c r="R898" i="1"/>
  <c r="S898" i="1" s="1"/>
  <c r="T898" i="1" s="1"/>
  <c r="G898" i="1"/>
  <c r="I898" i="1" s="1"/>
  <c r="I897" i="1"/>
  <c r="G897" i="1"/>
  <c r="S896" i="1"/>
  <c r="T896" i="1" s="1"/>
  <c r="R896" i="1"/>
  <c r="I896" i="1"/>
  <c r="G896" i="1"/>
  <c r="T895" i="1"/>
  <c r="S895" i="1"/>
  <c r="R895" i="1"/>
  <c r="G895" i="1"/>
  <c r="I895" i="1" s="1"/>
  <c r="AF894" i="1"/>
  <c r="AE894" i="1"/>
  <c r="G894" i="1"/>
  <c r="I894" i="1" s="1"/>
  <c r="M893" i="1"/>
  <c r="N893" i="1" s="1"/>
  <c r="O893" i="1" s="1"/>
  <c r="I893" i="1"/>
  <c r="G893" i="1"/>
  <c r="T892" i="1"/>
  <c r="R892" i="1"/>
  <c r="S892" i="1" s="1"/>
  <c r="G892" i="1"/>
  <c r="I892" i="1" s="1"/>
  <c r="M891" i="1"/>
  <c r="N891" i="1" s="1"/>
  <c r="O891" i="1" s="1"/>
  <c r="I891" i="1"/>
  <c r="G891" i="1"/>
  <c r="T890" i="1"/>
  <c r="R890" i="1"/>
  <c r="S890" i="1" s="1"/>
  <c r="G890" i="1"/>
  <c r="I890" i="1" s="1"/>
  <c r="O889" i="1"/>
  <c r="N889" i="1"/>
  <c r="M889" i="1"/>
  <c r="I889" i="1"/>
  <c r="G889" i="1"/>
  <c r="G888" i="1"/>
  <c r="I888" i="1" s="1"/>
  <c r="I887" i="1"/>
  <c r="G887" i="1"/>
  <c r="AJ886" i="1"/>
  <c r="AI886" i="1"/>
  <c r="AB886" i="1"/>
  <c r="AA886" i="1"/>
  <c r="W886" i="1"/>
  <c r="X886" i="1" s="1"/>
  <c r="I886" i="1"/>
  <c r="G886" i="1"/>
  <c r="AF885" i="1"/>
  <c r="AE885" i="1"/>
  <c r="M885" i="1"/>
  <c r="N885" i="1" s="1"/>
  <c r="O885" i="1" s="1"/>
  <c r="G885" i="1"/>
  <c r="I885" i="1" s="1"/>
  <c r="S884" i="1"/>
  <c r="T884" i="1" s="1"/>
  <c r="R884" i="1"/>
  <c r="I884" i="1"/>
  <c r="G884" i="1"/>
  <c r="R883" i="1"/>
  <c r="S883" i="1" s="1"/>
  <c r="T883" i="1" s="1"/>
  <c r="O883" i="1"/>
  <c r="N883" i="1"/>
  <c r="M883" i="1"/>
  <c r="I883" i="1"/>
  <c r="G883" i="1"/>
  <c r="AE882" i="1"/>
  <c r="AF882" i="1" s="1"/>
  <c r="R882" i="1"/>
  <c r="S882" i="1" s="1"/>
  <c r="T882" i="1" s="1"/>
  <c r="N882" i="1"/>
  <c r="O882" i="1" s="1"/>
  <c r="M882" i="1"/>
  <c r="G882" i="1"/>
  <c r="I882" i="1" s="1"/>
  <c r="AJ881" i="1"/>
  <c r="AI881" i="1"/>
  <c r="I881" i="1"/>
  <c r="G881" i="1"/>
  <c r="O880" i="1"/>
  <c r="N880" i="1"/>
  <c r="M880" i="1"/>
  <c r="G880" i="1"/>
  <c r="I880" i="1" s="1"/>
  <c r="I879" i="1"/>
  <c r="G879" i="1"/>
  <c r="N878" i="1"/>
  <c r="O878" i="1" s="1"/>
  <c r="M878" i="1"/>
  <c r="G878" i="1"/>
  <c r="I878" i="1" s="1"/>
  <c r="G877" i="1"/>
  <c r="I877" i="1" s="1"/>
  <c r="I876" i="1"/>
  <c r="G876" i="1"/>
  <c r="AF875" i="1"/>
  <c r="AE875" i="1"/>
  <c r="G875" i="1"/>
  <c r="I875" i="1" s="1"/>
  <c r="G874" i="1"/>
  <c r="I874" i="1" s="1"/>
  <c r="AB873" i="1"/>
  <c r="AA873" i="1"/>
  <c r="X873" i="1"/>
  <c r="W873" i="1"/>
  <c r="G873" i="1"/>
  <c r="I873" i="1" s="1"/>
  <c r="R872" i="1"/>
  <c r="S872" i="1" s="1"/>
  <c r="T872" i="1" s="1"/>
  <c r="N872" i="1"/>
  <c r="O872" i="1" s="1"/>
  <c r="M872" i="1"/>
  <c r="G872" i="1"/>
  <c r="I872" i="1" s="1"/>
  <c r="W871" i="1"/>
  <c r="X871" i="1" s="1"/>
  <c r="I871" i="1"/>
  <c r="G871" i="1"/>
  <c r="T870" i="1"/>
  <c r="G870" i="1"/>
  <c r="I870" i="1" s="1"/>
  <c r="W869" i="1"/>
  <c r="X869" i="1" s="1"/>
  <c r="I869" i="1"/>
  <c r="G869" i="1"/>
  <c r="N868" i="1"/>
  <c r="O868" i="1" s="1"/>
  <c r="M868" i="1"/>
  <c r="G868" i="1"/>
  <c r="I868" i="1" s="1"/>
  <c r="N867" i="1"/>
  <c r="O867" i="1" s="1"/>
  <c r="M867" i="1"/>
  <c r="G867" i="1"/>
  <c r="I867" i="1" s="1"/>
  <c r="M866" i="1"/>
  <c r="N866" i="1" s="1"/>
  <c r="O866" i="1" s="1"/>
  <c r="I866" i="1"/>
  <c r="G866" i="1"/>
  <c r="M865" i="1"/>
  <c r="N865" i="1" s="1"/>
  <c r="O865" i="1" s="1"/>
  <c r="G865" i="1"/>
  <c r="I865" i="1" s="1"/>
  <c r="G864" i="1"/>
  <c r="I864" i="1" s="1"/>
  <c r="O863" i="1"/>
  <c r="N863" i="1"/>
  <c r="M863" i="1"/>
  <c r="I863" i="1"/>
  <c r="G863" i="1"/>
  <c r="M862" i="1"/>
  <c r="N862" i="1" s="1"/>
  <c r="O862" i="1" s="1"/>
  <c r="G862" i="1"/>
  <c r="I862" i="1" s="1"/>
  <c r="G861" i="1"/>
  <c r="I861" i="1" s="1"/>
  <c r="R860" i="1"/>
  <c r="S860" i="1" s="1"/>
  <c r="T860" i="1" s="1"/>
  <c r="I860" i="1"/>
  <c r="G860" i="1"/>
  <c r="I859" i="1"/>
  <c r="G859" i="1"/>
  <c r="I858" i="1"/>
  <c r="G858" i="1"/>
  <c r="R857" i="1"/>
  <c r="S857" i="1" s="1"/>
  <c r="T857" i="1" s="1"/>
  <c r="G857" i="1"/>
  <c r="I857" i="1" s="1"/>
  <c r="N856" i="1"/>
  <c r="O856" i="1" s="1"/>
  <c r="M856" i="1"/>
  <c r="G856" i="1"/>
  <c r="I856" i="1" s="1"/>
  <c r="M855" i="1"/>
  <c r="N855" i="1" s="1"/>
  <c r="O855" i="1" s="1"/>
  <c r="G855" i="1"/>
  <c r="I855" i="1" s="1"/>
  <c r="I854" i="1"/>
  <c r="G854" i="1"/>
  <c r="M853" i="1"/>
  <c r="N853" i="1" s="1"/>
  <c r="O853" i="1" s="1"/>
  <c r="I853" i="1"/>
  <c r="G853" i="1"/>
  <c r="I852" i="1"/>
  <c r="G852" i="1"/>
  <c r="M851" i="1"/>
  <c r="N851" i="1" s="1"/>
  <c r="O851" i="1" s="1"/>
  <c r="G851" i="1"/>
  <c r="I851" i="1" s="1"/>
  <c r="G850" i="1"/>
  <c r="I850" i="1" s="1"/>
  <c r="R849" i="1"/>
  <c r="S849" i="1" s="1"/>
  <c r="T849" i="1" s="1"/>
  <c r="N849" i="1"/>
  <c r="O849" i="1" s="1"/>
  <c r="M849" i="1"/>
  <c r="G849" i="1"/>
  <c r="I849" i="1" s="1"/>
  <c r="R848" i="1"/>
  <c r="S848" i="1" s="1"/>
  <c r="T848" i="1" s="1"/>
  <c r="G848" i="1"/>
  <c r="I848" i="1" s="1"/>
  <c r="I847" i="1"/>
  <c r="G847" i="1"/>
  <c r="T846" i="1"/>
  <c r="R846" i="1"/>
  <c r="S846" i="1" s="1"/>
  <c r="G846" i="1"/>
  <c r="I846" i="1" s="1"/>
  <c r="S845" i="1"/>
  <c r="T845" i="1" s="1"/>
  <c r="R845" i="1"/>
  <c r="I845" i="1"/>
  <c r="G845" i="1"/>
  <c r="M844" i="1"/>
  <c r="N844" i="1" s="1"/>
  <c r="O844" i="1" s="1"/>
  <c r="G844" i="1"/>
  <c r="I844" i="1" s="1"/>
  <c r="S843" i="1"/>
  <c r="T843" i="1" s="1"/>
  <c r="R843" i="1"/>
  <c r="G843" i="1"/>
  <c r="I843" i="1" s="1"/>
  <c r="T842" i="1"/>
  <c r="S842" i="1"/>
  <c r="R842" i="1"/>
  <c r="G842" i="1"/>
  <c r="I842" i="1" s="1"/>
  <c r="R841" i="1"/>
  <c r="S841" i="1" s="1"/>
  <c r="T841" i="1" s="1"/>
  <c r="G841" i="1"/>
  <c r="I841" i="1" s="1"/>
  <c r="M840" i="1"/>
  <c r="N840" i="1" s="1"/>
  <c r="O840" i="1" s="1"/>
  <c r="G840" i="1"/>
  <c r="I840" i="1" s="1"/>
  <c r="N839" i="1"/>
  <c r="O839" i="1" s="1"/>
  <c r="M839" i="1"/>
  <c r="I839" i="1"/>
  <c r="G839" i="1"/>
  <c r="M838" i="1"/>
  <c r="N838" i="1" s="1"/>
  <c r="O838" i="1" s="1"/>
  <c r="G838" i="1"/>
  <c r="I838" i="1" s="1"/>
  <c r="N837" i="1"/>
  <c r="O837" i="1" s="1"/>
  <c r="M837" i="1"/>
  <c r="I837" i="1"/>
  <c r="G837" i="1"/>
  <c r="M836" i="1"/>
  <c r="N836" i="1" s="1"/>
  <c r="O836" i="1" s="1"/>
  <c r="G836" i="1"/>
  <c r="I836" i="1" s="1"/>
  <c r="S835" i="1"/>
  <c r="T835" i="1" s="1"/>
  <c r="R835" i="1"/>
  <c r="G835" i="1"/>
  <c r="I835" i="1" s="1"/>
  <c r="X834" i="1"/>
  <c r="W834" i="1"/>
  <c r="G834" i="1"/>
  <c r="I834" i="1" s="1"/>
  <c r="T833" i="1"/>
  <c r="R833" i="1"/>
  <c r="S833" i="1" s="1"/>
  <c r="G833" i="1"/>
  <c r="I833" i="1" s="1"/>
  <c r="G832" i="1"/>
  <c r="I832" i="1" s="1"/>
  <c r="G831" i="1"/>
  <c r="I831" i="1" s="1"/>
  <c r="R830" i="1"/>
  <c r="S830" i="1" s="1"/>
  <c r="T830" i="1" s="1"/>
  <c r="O830" i="1"/>
  <c r="M830" i="1"/>
  <c r="N830" i="1" s="1"/>
  <c r="G830" i="1"/>
  <c r="I830" i="1" s="1"/>
  <c r="AI829" i="1"/>
  <c r="AJ829" i="1" s="1"/>
  <c r="AE829" i="1"/>
  <c r="AF829" i="1" s="1"/>
  <c r="G829" i="1"/>
  <c r="I829" i="1" s="1"/>
  <c r="X828" i="1"/>
  <c r="W828" i="1"/>
  <c r="S828" i="1"/>
  <c r="T828" i="1" s="1"/>
  <c r="R828" i="1"/>
  <c r="M828" i="1"/>
  <c r="N828" i="1" s="1"/>
  <c r="O828" i="1" s="1"/>
  <c r="G828" i="1"/>
  <c r="I828" i="1" s="1"/>
  <c r="G827" i="1"/>
  <c r="I827" i="1" s="1"/>
  <c r="AE826" i="1"/>
  <c r="AF826" i="1" s="1"/>
  <c r="I826" i="1"/>
  <c r="G826" i="1"/>
  <c r="AF825" i="1"/>
  <c r="AE825" i="1"/>
  <c r="G825" i="1"/>
  <c r="I825" i="1" s="1"/>
  <c r="AE824" i="1"/>
  <c r="AF824" i="1" s="1"/>
  <c r="I824" i="1"/>
  <c r="G824" i="1"/>
  <c r="I823" i="1"/>
  <c r="G823" i="1"/>
  <c r="AA822" i="1"/>
  <c r="AB822" i="1" s="1"/>
  <c r="G822" i="1"/>
  <c r="I822" i="1" s="1"/>
  <c r="AI821" i="1"/>
  <c r="AJ821" i="1" s="1"/>
  <c r="AF821" i="1"/>
  <c r="AE821" i="1"/>
  <c r="N821" i="1"/>
  <c r="O821" i="1" s="1"/>
  <c r="M821" i="1"/>
  <c r="G821" i="1"/>
  <c r="I821" i="1" s="1"/>
  <c r="G820" i="1"/>
  <c r="I820" i="1" s="1"/>
  <c r="I819" i="1"/>
  <c r="G819" i="1"/>
  <c r="R818" i="1"/>
  <c r="S818" i="1" s="1"/>
  <c r="T818" i="1" s="1"/>
  <c r="G818" i="1"/>
  <c r="I818" i="1" s="1"/>
  <c r="AI817" i="1"/>
  <c r="AJ817" i="1" s="1"/>
  <c r="AE817" i="1"/>
  <c r="AF817" i="1" s="1"/>
  <c r="M817" i="1"/>
  <c r="N817" i="1" s="1"/>
  <c r="O817" i="1" s="1"/>
  <c r="G817" i="1"/>
  <c r="I817" i="1" s="1"/>
  <c r="AE816" i="1"/>
  <c r="AF816" i="1" s="1"/>
  <c r="I816" i="1"/>
  <c r="G816" i="1"/>
  <c r="AE815" i="1"/>
  <c r="AF815" i="1" s="1"/>
  <c r="G815" i="1"/>
  <c r="I815" i="1" s="1"/>
  <c r="M814" i="1"/>
  <c r="N814" i="1" s="1"/>
  <c r="O814" i="1" s="1"/>
  <c r="I814" i="1"/>
  <c r="G814" i="1"/>
  <c r="I813" i="1"/>
  <c r="G813" i="1"/>
  <c r="R812" i="1"/>
  <c r="S812" i="1" s="1"/>
  <c r="T812" i="1" s="1"/>
  <c r="I812" i="1"/>
  <c r="G812" i="1"/>
  <c r="G811" i="1"/>
  <c r="I811" i="1" s="1"/>
  <c r="M810" i="1"/>
  <c r="N810" i="1" s="1"/>
  <c r="O810" i="1" s="1"/>
  <c r="I810" i="1"/>
  <c r="G810" i="1"/>
  <c r="X809" i="1"/>
  <c r="W809" i="1"/>
  <c r="I809" i="1"/>
  <c r="G809" i="1"/>
  <c r="G808" i="1"/>
  <c r="I808" i="1" s="1"/>
  <c r="W807" i="1"/>
  <c r="X807" i="1" s="1"/>
  <c r="I807" i="1"/>
  <c r="G807" i="1"/>
  <c r="AJ806" i="1"/>
  <c r="AI806" i="1"/>
  <c r="R806" i="1"/>
  <c r="S806" i="1" s="1"/>
  <c r="T806" i="1" s="1"/>
  <c r="G806" i="1"/>
  <c r="I806" i="1" s="1"/>
  <c r="S805" i="1"/>
  <c r="T805" i="1" s="1"/>
  <c r="R805" i="1"/>
  <c r="G805" i="1"/>
  <c r="I805" i="1" s="1"/>
  <c r="N804" i="1"/>
  <c r="O804" i="1" s="1"/>
  <c r="M804" i="1"/>
  <c r="G804" i="1"/>
  <c r="I804" i="1" s="1"/>
  <c r="M803" i="1"/>
  <c r="N803" i="1" s="1"/>
  <c r="O803" i="1" s="1"/>
  <c r="G803" i="1"/>
  <c r="I803" i="1" s="1"/>
  <c r="O802" i="1"/>
  <c r="M802" i="1"/>
  <c r="N802" i="1" s="1"/>
  <c r="G802" i="1"/>
  <c r="I802" i="1" s="1"/>
  <c r="AI801" i="1"/>
  <c r="AJ801" i="1" s="1"/>
  <c r="AF801" i="1"/>
  <c r="AE801" i="1"/>
  <c r="AA801" i="1"/>
  <c r="AB801" i="1" s="1"/>
  <c r="W801" i="1"/>
  <c r="X801" i="1" s="1"/>
  <c r="G801" i="1"/>
  <c r="I801" i="1" s="1"/>
  <c r="AE800" i="1"/>
  <c r="AF800" i="1" s="1"/>
  <c r="AA800" i="1"/>
  <c r="AB800" i="1" s="1"/>
  <c r="G800" i="1"/>
  <c r="I800" i="1" s="1"/>
  <c r="G799" i="1"/>
  <c r="I799" i="1" s="1"/>
  <c r="S798" i="1"/>
  <c r="T798" i="1" s="1"/>
  <c r="R798" i="1"/>
  <c r="I798" i="1"/>
  <c r="G798" i="1"/>
  <c r="R797" i="1"/>
  <c r="S797" i="1" s="1"/>
  <c r="T797" i="1" s="1"/>
  <c r="G797" i="1"/>
  <c r="I797" i="1" s="1"/>
  <c r="S796" i="1"/>
  <c r="T796" i="1" s="1"/>
  <c r="R796" i="1"/>
  <c r="I796" i="1"/>
  <c r="G796" i="1"/>
  <c r="I795" i="1"/>
  <c r="G795" i="1"/>
  <c r="I794" i="1"/>
  <c r="G794" i="1"/>
  <c r="T793" i="1"/>
  <c r="R793" i="1"/>
  <c r="S793" i="1" s="1"/>
  <c r="G793" i="1"/>
  <c r="I793" i="1" s="1"/>
  <c r="AE792" i="1"/>
  <c r="AF792" i="1" s="1"/>
  <c r="S792" i="1"/>
  <c r="T792" i="1" s="1"/>
  <c r="R792" i="1"/>
  <c r="M792" i="1"/>
  <c r="N792" i="1" s="1"/>
  <c r="O792" i="1" s="1"/>
  <c r="I792" i="1"/>
  <c r="G792" i="1"/>
  <c r="S791" i="1"/>
  <c r="T791" i="1" s="1"/>
  <c r="R791" i="1"/>
  <c r="G791" i="1"/>
  <c r="I791" i="1" s="1"/>
  <c r="M790" i="1"/>
  <c r="N790" i="1" s="1"/>
  <c r="O790" i="1" s="1"/>
  <c r="G790" i="1"/>
  <c r="I790" i="1" s="1"/>
  <c r="R789" i="1"/>
  <c r="S789" i="1" s="1"/>
  <c r="T789" i="1" s="1"/>
  <c r="I789" i="1"/>
  <c r="G789" i="1"/>
  <c r="AF788" i="1"/>
  <c r="AE788" i="1"/>
  <c r="I788" i="1"/>
  <c r="G788" i="1"/>
  <c r="R787" i="1"/>
  <c r="S787" i="1" s="1"/>
  <c r="T787" i="1" s="1"/>
  <c r="G787" i="1"/>
  <c r="I787" i="1" s="1"/>
  <c r="N786" i="1"/>
  <c r="O786" i="1" s="1"/>
  <c r="M786" i="1"/>
  <c r="G786" i="1"/>
  <c r="I786" i="1" s="1"/>
  <c r="AJ785" i="1"/>
  <c r="AI785" i="1"/>
  <c r="AB785" i="1"/>
  <c r="AA785" i="1"/>
  <c r="X785" i="1"/>
  <c r="W785" i="1"/>
  <c r="G785" i="1"/>
  <c r="I785" i="1" s="1"/>
  <c r="S784" i="1"/>
  <c r="T784" i="1" s="1"/>
  <c r="R784" i="1"/>
  <c r="G784" i="1"/>
  <c r="I784" i="1" s="1"/>
  <c r="R783" i="1"/>
  <c r="S783" i="1" s="1"/>
  <c r="T783" i="1" s="1"/>
  <c r="I783" i="1"/>
  <c r="G783" i="1"/>
  <c r="T782" i="1"/>
  <c r="R782" i="1"/>
  <c r="S782" i="1" s="1"/>
  <c r="G782" i="1"/>
  <c r="I782" i="1" s="1"/>
  <c r="R781" i="1"/>
  <c r="S781" i="1" s="1"/>
  <c r="T781" i="1" s="1"/>
  <c r="O781" i="1"/>
  <c r="M781" i="1"/>
  <c r="N781" i="1" s="1"/>
  <c r="G781" i="1"/>
  <c r="I781" i="1" s="1"/>
  <c r="AE780" i="1"/>
  <c r="AF780" i="1" s="1"/>
  <c r="AA780" i="1"/>
  <c r="AB780" i="1" s="1"/>
  <c r="W780" i="1"/>
  <c r="X780" i="1" s="1"/>
  <c r="G780" i="1"/>
  <c r="I780" i="1" s="1"/>
  <c r="W779" i="1"/>
  <c r="X779" i="1" s="1"/>
  <c r="O779" i="1"/>
  <c r="N779" i="1"/>
  <c r="M779" i="1"/>
  <c r="I779" i="1"/>
  <c r="G779" i="1"/>
  <c r="G778" i="1"/>
  <c r="I778" i="1" s="1"/>
  <c r="AA777" i="1"/>
  <c r="AB777" i="1" s="1"/>
  <c r="X777" i="1"/>
  <c r="W777" i="1"/>
  <c r="T777" i="1"/>
  <c r="R777" i="1"/>
  <c r="S777" i="1" s="1"/>
  <c r="N777" i="1"/>
  <c r="O777" i="1" s="1"/>
  <c r="M777" i="1"/>
  <c r="I777" i="1"/>
  <c r="G777" i="1"/>
  <c r="AJ776" i="1"/>
  <c r="AI776" i="1"/>
  <c r="AE776" i="1"/>
  <c r="AF776" i="1" s="1"/>
  <c r="G776" i="1"/>
  <c r="I776" i="1" s="1"/>
  <c r="R775" i="1"/>
  <c r="S775" i="1" s="1"/>
  <c r="T775" i="1" s="1"/>
  <c r="G775" i="1"/>
  <c r="I775" i="1" s="1"/>
  <c r="S774" i="1"/>
  <c r="T774" i="1" s="1"/>
  <c r="R774" i="1"/>
  <c r="I774" i="1"/>
  <c r="G774" i="1"/>
  <c r="O773" i="1"/>
  <c r="M773" i="1"/>
  <c r="N773" i="1" s="1"/>
  <c r="G773" i="1"/>
  <c r="I773" i="1" s="1"/>
  <c r="N772" i="1"/>
  <c r="O772" i="1" s="1"/>
  <c r="M772" i="1"/>
  <c r="I772" i="1"/>
  <c r="G772" i="1"/>
  <c r="M771" i="1"/>
  <c r="N771" i="1" s="1"/>
  <c r="O771" i="1" s="1"/>
  <c r="G771" i="1"/>
  <c r="I771" i="1" s="1"/>
  <c r="W770" i="1"/>
  <c r="X770" i="1" s="1"/>
  <c r="S770" i="1"/>
  <c r="T770" i="1" s="1"/>
  <c r="R770" i="1"/>
  <c r="I770" i="1"/>
  <c r="G770" i="1"/>
  <c r="AB769" i="1"/>
  <c r="AA769" i="1"/>
  <c r="I769" i="1"/>
  <c r="G769" i="1"/>
  <c r="AF768" i="1"/>
  <c r="AE768" i="1"/>
  <c r="I768" i="1"/>
  <c r="G768" i="1"/>
  <c r="O767" i="1"/>
  <c r="M767" i="1"/>
  <c r="N767" i="1" s="1"/>
  <c r="G767" i="1"/>
  <c r="I767" i="1" s="1"/>
  <c r="N766" i="1"/>
  <c r="O766" i="1" s="1"/>
  <c r="M766" i="1"/>
  <c r="I766" i="1"/>
  <c r="G766" i="1"/>
  <c r="R765" i="1"/>
  <c r="S765" i="1" s="1"/>
  <c r="T765" i="1" s="1"/>
  <c r="G765" i="1"/>
  <c r="I765" i="1" s="1"/>
  <c r="N764" i="1"/>
  <c r="O764" i="1" s="1"/>
  <c r="M764" i="1"/>
  <c r="I764" i="1"/>
  <c r="G764" i="1"/>
  <c r="R763" i="1"/>
  <c r="S763" i="1" s="1"/>
  <c r="T763" i="1" s="1"/>
  <c r="N763" i="1"/>
  <c r="O763" i="1" s="1"/>
  <c r="M763" i="1"/>
  <c r="I763" i="1"/>
  <c r="G763" i="1"/>
  <c r="R762" i="1"/>
  <c r="S762" i="1" s="1"/>
  <c r="T762" i="1" s="1"/>
  <c r="I762" i="1"/>
  <c r="G762" i="1"/>
  <c r="AE761" i="1"/>
  <c r="AF761" i="1" s="1"/>
  <c r="G761" i="1"/>
  <c r="I761" i="1" s="1"/>
  <c r="S760" i="1"/>
  <c r="T760" i="1" s="1"/>
  <c r="R760" i="1"/>
  <c r="I760" i="1"/>
  <c r="G760" i="1"/>
  <c r="T759" i="1"/>
  <c r="R759" i="1"/>
  <c r="S759" i="1" s="1"/>
  <c r="G759" i="1"/>
  <c r="I759" i="1" s="1"/>
  <c r="S758" i="1"/>
  <c r="T758" i="1" s="1"/>
  <c r="R758" i="1"/>
  <c r="I758" i="1"/>
  <c r="G758" i="1"/>
  <c r="G757" i="1"/>
  <c r="I757" i="1" s="1"/>
  <c r="AI756" i="1"/>
  <c r="AJ756" i="1" s="1"/>
  <c r="I756" i="1"/>
  <c r="G756" i="1"/>
  <c r="I755" i="1"/>
  <c r="G755" i="1"/>
  <c r="R754" i="1"/>
  <c r="S754" i="1" s="1"/>
  <c r="T754" i="1" s="1"/>
  <c r="I754" i="1"/>
  <c r="G754" i="1"/>
  <c r="S753" i="1"/>
  <c r="T753" i="1" s="1"/>
  <c r="R753" i="1"/>
  <c r="M753" i="1"/>
  <c r="N753" i="1" s="1"/>
  <c r="O753" i="1" s="1"/>
  <c r="G753" i="1"/>
  <c r="I753" i="1" s="1"/>
  <c r="AI752" i="1"/>
  <c r="AJ752" i="1" s="1"/>
  <c r="AE752" i="1"/>
  <c r="AF752" i="1" s="1"/>
  <c r="G752" i="1"/>
  <c r="I752" i="1" s="1"/>
  <c r="T751" i="1"/>
  <c r="S751" i="1"/>
  <c r="R751" i="1"/>
  <c r="I751" i="1"/>
  <c r="G751" i="1"/>
  <c r="R750" i="1"/>
  <c r="S750" i="1" s="1"/>
  <c r="T750" i="1" s="1"/>
  <c r="I750" i="1"/>
  <c r="G750" i="1"/>
  <c r="G749" i="1"/>
  <c r="I749" i="1" s="1"/>
  <c r="G748" i="1"/>
  <c r="I748" i="1" s="1"/>
  <c r="N747" i="1"/>
  <c r="O747" i="1" s="1"/>
  <c r="M747" i="1"/>
  <c r="I747" i="1"/>
  <c r="G747" i="1"/>
  <c r="I746" i="1"/>
  <c r="G746" i="1"/>
  <c r="R745" i="1"/>
  <c r="S745" i="1" s="1"/>
  <c r="T745" i="1" s="1"/>
  <c r="N745" i="1"/>
  <c r="O745" i="1" s="1"/>
  <c r="M745" i="1"/>
  <c r="I745" i="1"/>
  <c r="G745" i="1"/>
  <c r="AJ744" i="1"/>
  <c r="AI744" i="1"/>
  <c r="AF744" i="1"/>
  <c r="AE744" i="1"/>
  <c r="AB744" i="1"/>
  <c r="AA744" i="1"/>
  <c r="I744" i="1"/>
  <c r="G744" i="1"/>
  <c r="I743" i="1"/>
  <c r="G743" i="1"/>
  <c r="I742" i="1"/>
  <c r="G742" i="1"/>
  <c r="M741" i="1"/>
  <c r="N741" i="1" s="1"/>
  <c r="O741" i="1" s="1"/>
  <c r="G741" i="1"/>
  <c r="I741" i="1" s="1"/>
  <c r="AI740" i="1"/>
  <c r="AJ740" i="1" s="1"/>
  <c r="AF740" i="1"/>
  <c r="AE740" i="1"/>
  <c r="AA740" i="1"/>
  <c r="AB740" i="1" s="1"/>
  <c r="W740" i="1"/>
  <c r="X740" i="1" s="1"/>
  <c r="G740" i="1"/>
  <c r="I740" i="1" s="1"/>
  <c r="S739" i="1"/>
  <c r="T739" i="1" s="1"/>
  <c r="R739" i="1"/>
  <c r="I739" i="1"/>
  <c r="G739" i="1"/>
  <c r="X738" i="1"/>
  <c r="W738" i="1"/>
  <c r="N738" i="1"/>
  <c r="O738" i="1" s="1"/>
  <c r="M738" i="1"/>
  <c r="G738" i="1"/>
  <c r="I738" i="1" s="1"/>
  <c r="G737" i="1"/>
  <c r="I737" i="1" s="1"/>
  <c r="W736" i="1"/>
  <c r="X736" i="1" s="1"/>
  <c r="O736" i="1"/>
  <c r="N736" i="1"/>
  <c r="M736" i="1"/>
  <c r="I736" i="1"/>
  <c r="G736" i="1"/>
  <c r="G735" i="1"/>
  <c r="I735" i="1" s="1"/>
  <c r="R734" i="1"/>
  <c r="S734" i="1" s="1"/>
  <c r="T734" i="1" s="1"/>
  <c r="G734" i="1"/>
  <c r="I734" i="1" s="1"/>
  <c r="R733" i="1"/>
  <c r="S733" i="1" s="1"/>
  <c r="T733" i="1" s="1"/>
  <c r="G733" i="1"/>
  <c r="I733" i="1" s="1"/>
  <c r="AF732" i="1"/>
  <c r="AE732" i="1"/>
  <c r="AB732" i="1"/>
  <c r="AA732" i="1"/>
  <c r="W732" i="1"/>
  <c r="X732" i="1" s="1"/>
  <c r="G732" i="1"/>
  <c r="I732" i="1" s="1"/>
  <c r="X731" i="1"/>
  <c r="W731" i="1"/>
  <c r="T731" i="1"/>
  <c r="R731" i="1"/>
  <c r="S731" i="1" s="1"/>
  <c r="N731" i="1"/>
  <c r="O731" i="1" s="1"/>
  <c r="M731" i="1"/>
  <c r="I731" i="1"/>
  <c r="G731" i="1"/>
  <c r="AJ730" i="1"/>
  <c r="AI730" i="1"/>
  <c r="M730" i="1"/>
  <c r="N730" i="1" s="1"/>
  <c r="O730" i="1" s="1"/>
  <c r="G730" i="1"/>
  <c r="I730" i="1" s="1"/>
  <c r="G729" i="1"/>
  <c r="I729" i="1" s="1"/>
  <c r="R728" i="1"/>
  <c r="S728" i="1" s="1"/>
  <c r="T728" i="1" s="1"/>
  <c r="G728" i="1"/>
  <c r="I728" i="1" s="1"/>
  <c r="R727" i="1"/>
  <c r="S727" i="1" s="1"/>
  <c r="T727" i="1" s="1"/>
  <c r="G727" i="1"/>
  <c r="I727" i="1" s="1"/>
  <c r="S726" i="1"/>
  <c r="T726" i="1" s="1"/>
  <c r="R726" i="1"/>
  <c r="I726" i="1"/>
  <c r="G726" i="1"/>
  <c r="T725" i="1"/>
  <c r="R725" i="1"/>
  <c r="S725" i="1" s="1"/>
  <c r="G725" i="1"/>
  <c r="I725" i="1" s="1"/>
  <c r="S724" i="1"/>
  <c r="T724" i="1" s="1"/>
  <c r="R724" i="1"/>
  <c r="I724" i="1"/>
  <c r="G724" i="1"/>
  <c r="AJ723" i="1"/>
  <c r="AI723" i="1"/>
  <c r="M723" i="1"/>
  <c r="N723" i="1" s="1"/>
  <c r="O723" i="1" s="1"/>
  <c r="G723" i="1"/>
  <c r="I723" i="1" s="1"/>
  <c r="AE722" i="1"/>
  <c r="AF722" i="1" s="1"/>
  <c r="AA722" i="1"/>
  <c r="AB722" i="1" s="1"/>
  <c r="I722" i="1"/>
  <c r="G722" i="1"/>
  <c r="AE721" i="1"/>
  <c r="AF721" i="1" s="1"/>
  <c r="N721" i="1"/>
  <c r="O721" i="1" s="1"/>
  <c r="M721" i="1"/>
  <c r="G721" i="1"/>
  <c r="I721" i="1" s="1"/>
  <c r="O720" i="1"/>
  <c r="M720" i="1"/>
  <c r="N720" i="1" s="1"/>
  <c r="G720" i="1"/>
  <c r="I720" i="1" s="1"/>
  <c r="AE719" i="1"/>
  <c r="AF719" i="1" s="1"/>
  <c r="S719" i="1"/>
  <c r="T719" i="1" s="1"/>
  <c r="R719" i="1"/>
  <c r="I719" i="1"/>
  <c r="G719" i="1"/>
  <c r="AJ718" i="1"/>
  <c r="AI718" i="1"/>
  <c r="I718" i="1"/>
  <c r="G718" i="1"/>
  <c r="X717" i="1"/>
  <c r="W717" i="1"/>
  <c r="I717" i="1"/>
  <c r="G717" i="1"/>
  <c r="M716" i="1"/>
  <c r="N716" i="1" s="1"/>
  <c r="O716" i="1" s="1"/>
  <c r="G716" i="1"/>
  <c r="I716" i="1" s="1"/>
  <c r="N715" i="1"/>
  <c r="O715" i="1" s="1"/>
  <c r="M715" i="1"/>
  <c r="G715" i="1"/>
  <c r="I715" i="1" s="1"/>
  <c r="M714" i="1"/>
  <c r="N714" i="1" s="1"/>
  <c r="O714" i="1" s="1"/>
  <c r="G714" i="1"/>
  <c r="I714" i="1" s="1"/>
  <c r="M713" i="1"/>
  <c r="N713" i="1" s="1"/>
  <c r="O713" i="1" s="1"/>
  <c r="G713" i="1"/>
  <c r="I713" i="1" s="1"/>
  <c r="I712" i="1"/>
  <c r="G712" i="1"/>
  <c r="X711" i="1"/>
  <c r="W711" i="1"/>
  <c r="R711" i="1"/>
  <c r="S711" i="1" s="1"/>
  <c r="T711" i="1" s="1"/>
  <c r="I711" i="1"/>
  <c r="G711" i="1"/>
  <c r="AA710" i="1"/>
  <c r="AB710" i="1" s="1"/>
  <c r="G710" i="1"/>
  <c r="I710" i="1" s="1"/>
  <c r="M709" i="1"/>
  <c r="N709" i="1" s="1"/>
  <c r="O709" i="1" s="1"/>
  <c r="I709" i="1"/>
  <c r="G709" i="1"/>
  <c r="I708" i="1"/>
  <c r="G708" i="1"/>
  <c r="AE707" i="1"/>
  <c r="AF707" i="1" s="1"/>
  <c r="G707" i="1"/>
  <c r="I707" i="1" s="1"/>
  <c r="AF706" i="1"/>
  <c r="AE706" i="1"/>
  <c r="I706" i="1"/>
  <c r="G706" i="1"/>
  <c r="AA705" i="1"/>
  <c r="AB705" i="1" s="1"/>
  <c r="I705" i="1"/>
  <c r="G705" i="1"/>
  <c r="AJ704" i="1"/>
  <c r="AI704" i="1"/>
  <c r="I704" i="1"/>
  <c r="G704" i="1"/>
  <c r="M703" i="1"/>
  <c r="N703" i="1" s="1"/>
  <c r="O703" i="1" s="1"/>
  <c r="G703" i="1"/>
  <c r="I703" i="1" s="1"/>
  <c r="N702" i="1"/>
  <c r="O702" i="1" s="1"/>
  <c r="M702" i="1"/>
  <c r="G702" i="1"/>
  <c r="I702" i="1" s="1"/>
  <c r="M701" i="1"/>
  <c r="N701" i="1" s="1"/>
  <c r="O701" i="1" s="1"/>
  <c r="G701" i="1"/>
  <c r="I701" i="1" s="1"/>
  <c r="G700" i="1"/>
  <c r="I700" i="1" s="1"/>
  <c r="G699" i="1"/>
  <c r="I699" i="1" s="1"/>
  <c r="AE698" i="1"/>
  <c r="AF698" i="1" s="1"/>
  <c r="G698" i="1"/>
  <c r="I698" i="1" s="1"/>
  <c r="G697" i="1"/>
  <c r="I697" i="1" s="1"/>
  <c r="G696" i="1"/>
  <c r="I696" i="1" s="1"/>
  <c r="N695" i="1"/>
  <c r="O695" i="1" s="1"/>
  <c r="M695" i="1"/>
  <c r="I695" i="1"/>
  <c r="G695" i="1"/>
  <c r="G694" i="1"/>
  <c r="I694" i="1" s="1"/>
  <c r="S693" i="1"/>
  <c r="T693" i="1" s="1"/>
  <c r="R693" i="1"/>
  <c r="G693" i="1"/>
  <c r="I693" i="1" s="1"/>
  <c r="G692" i="1"/>
  <c r="I692" i="1" s="1"/>
  <c r="G691" i="1"/>
  <c r="I691" i="1" s="1"/>
  <c r="I690" i="1"/>
  <c r="G690" i="1"/>
  <c r="N689" i="1"/>
  <c r="O689" i="1" s="1"/>
  <c r="M689" i="1"/>
  <c r="G689" i="1"/>
  <c r="I689" i="1" s="1"/>
  <c r="AF688" i="1"/>
  <c r="AE688" i="1"/>
  <c r="T688" i="1"/>
  <c r="R688" i="1"/>
  <c r="S688" i="1" s="1"/>
  <c r="M688" i="1"/>
  <c r="N688" i="1" s="1"/>
  <c r="O688" i="1" s="1"/>
  <c r="G688" i="1"/>
  <c r="I688" i="1" s="1"/>
  <c r="AF687" i="1"/>
  <c r="AE687" i="1"/>
  <c r="R687" i="1"/>
  <c r="S687" i="1" s="1"/>
  <c r="T687" i="1" s="1"/>
  <c r="M687" i="1"/>
  <c r="N687" i="1" s="1"/>
  <c r="O687" i="1" s="1"/>
  <c r="I687" i="1"/>
  <c r="G687" i="1"/>
  <c r="R686" i="1"/>
  <c r="S686" i="1" s="1"/>
  <c r="T686" i="1" s="1"/>
  <c r="M686" i="1"/>
  <c r="N686" i="1" s="1"/>
  <c r="O686" i="1" s="1"/>
  <c r="I686" i="1"/>
  <c r="G686" i="1"/>
  <c r="AJ685" i="1"/>
  <c r="AI685" i="1"/>
  <c r="AA685" i="1"/>
  <c r="AB685" i="1" s="1"/>
  <c r="X685" i="1"/>
  <c r="W685" i="1"/>
  <c r="I685" i="1"/>
  <c r="G685" i="1"/>
  <c r="O684" i="1"/>
  <c r="M684" i="1"/>
  <c r="N684" i="1" s="1"/>
  <c r="G684" i="1"/>
  <c r="I684" i="1" s="1"/>
  <c r="G683" i="1"/>
  <c r="I683" i="1" s="1"/>
  <c r="N682" i="1"/>
  <c r="O682" i="1" s="1"/>
  <c r="M682" i="1"/>
  <c r="G682" i="1"/>
  <c r="I682" i="1" s="1"/>
  <c r="AJ681" i="1"/>
  <c r="AI681" i="1"/>
  <c r="AF681" i="1"/>
  <c r="AE681" i="1"/>
  <c r="AB681" i="1"/>
  <c r="AA681" i="1"/>
  <c r="W681" i="1"/>
  <c r="X681" i="1" s="1"/>
  <c r="T681" i="1"/>
  <c r="S681" i="1"/>
  <c r="R681" i="1"/>
  <c r="G681" i="1"/>
  <c r="I681" i="1" s="1"/>
  <c r="R680" i="1"/>
  <c r="S680" i="1" s="1"/>
  <c r="T680" i="1" s="1"/>
  <c r="I680" i="1"/>
  <c r="G680" i="1"/>
  <c r="T679" i="1"/>
  <c r="R679" i="1"/>
  <c r="S679" i="1" s="1"/>
  <c r="G679" i="1"/>
  <c r="I679" i="1" s="1"/>
  <c r="R678" i="1"/>
  <c r="S678" i="1" s="1"/>
  <c r="T678" i="1" s="1"/>
  <c r="M678" i="1"/>
  <c r="N678" i="1" s="1"/>
  <c r="O678" i="1" s="1"/>
  <c r="G678" i="1"/>
  <c r="I678" i="1" s="1"/>
  <c r="R677" i="1"/>
  <c r="S677" i="1" s="1"/>
  <c r="T677" i="1" s="1"/>
  <c r="M677" i="1"/>
  <c r="N677" i="1" s="1"/>
  <c r="O677" i="1" s="1"/>
  <c r="G677" i="1"/>
  <c r="I677" i="1" s="1"/>
  <c r="AB676" i="1"/>
  <c r="AA676" i="1"/>
  <c r="W676" i="1"/>
  <c r="X676" i="1" s="1"/>
  <c r="G676" i="1"/>
  <c r="I676" i="1" s="1"/>
  <c r="G675" i="1"/>
  <c r="I675" i="1" s="1"/>
  <c r="I674" i="1"/>
  <c r="G674" i="1"/>
  <c r="AB673" i="1"/>
  <c r="AA673" i="1"/>
  <c r="N673" i="1"/>
  <c r="O673" i="1" s="1"/>
  <c r="M673" i="1"/>
  <c r="I673" i="1"/>
  <c r="G673" i="1"/>
  <c r="AJ672" i="1"/>
  <c r="AI672" i="1"/>
  <c r="AF672" i="1"/>
  <c r="AE672" i="1"/>
  <c r="I672" i="1"/>
  <c r="G672" i="1"/>
  <c r="M671" i="1"/>
  <c r="N671" i="1" s="1"/>
  <c r="O671" i="1" s="1"/>
  <c r="G671" i="1"/>
  <c r="I671" i="1" s="1"/>
  <c r="N670" i="1"/>
  <c r="O670" i="1" s="1"/>
  <c r="M670" i="1"/>
  <c r="I670" i="1"/>
  <c r="G670" i="1"/>
  <c r="T669" i="1"/>
  <c r="R669" i="1"/>
  <c r="S669" i="1" s="1"/>
  <c r="N669" i="1"/>
  <c r="O669" i="1" s="1"/>
  <c r="M669" i="1"/>
  <c r="I669" i="1"/>
  <c r="G669" i="1"/>
  <c r="AJ668" i="1"/>
  <c r="AI668" i="1"/>
  <c r="AF668" i="1"/>
  <c r="AE668" i="1"/>
  <c r="AB668" i="1"/>
  <c r="AA668" i="1"/>
  <c r="I668" i="1"/>
  <c r="G668" i="1"/>
  <c r="I667" i="1"/>
  <c r="G667" i="1"/>
  <c r="M666" i="1"/>
  <c r="N666" i="1" s="1"/>
  <c r="O666" i="1" s="1"/>
  <c r="G666" i="1"/>
  <c r="I666" i="1" s="1"/>
  <c r="O665" i="1"/>
  <c r="M665" i="1"/>
  <c r="N665" i="1" s="1"/>
  <c r="G665" i="1"/>
  <c r="I665" i="1" s="1"/>
  <c r="AJ664" i="1"/>
  <c r="AI664" i="1"/>
  <c r="O664" i="1"/>
  <c r="N664" i="1"/>
  <c r="M664" i="1"/>
  <c r="I664" i="1"/>
  <c r="G664" i="1"/>
  <c r="O663" i="1"/>
  <c r="N663" i="1"/>
  <c r="M663" i="1"/>
  <c r="I663" i="1"/>
  <c r="G663" i="1"/>
  <c r="G662" i="1"/>
  <c r="I662" i="1" s="1"/>
  <c r="G661" i="1"/>
  <c r="I661" i="1" s="1"/>
  <c r="M660" i="1"/>
  <c r="N660" i="1" s="1"/>
  <c r="O660" i="1" s="1"/>
  <c r="G660" i="1"/>
  <c r="I660" i="1" s="1"/>
  <c r="AA659" i="1"/>
  <c r="AB659" i="1" s="1"/>
  <c r="G659" i="1"/>
  <c r="I659" i="1" s="1"/>
  <c r="G658" i="1"/>
  <c r="I658" i="1" s="1"/>
  <c r="AE657" i="1"/>
  <c r="AF657" i="1" s="1"/>
  <c r="AB657" i="1"/>
  <c r="AA657" i="1"/>
  <c r="T657" i="1"/>
  <c r="S657" i="1"/>
  <c r="R657" i="1"/>
  <c r="N657" i="1"/>
  <c r="O657" i="1" s="1"/>
  <c r="M657" i="1"/>
  <c r="I657" i="1"/>
  <c r="G657" i="1"/>
  <c r="I656" i="1"/>
  <c r="G656" i="1"/>
  <c r="G655" i="1"/>
  <c r="I655" i="1" s="1"/>
  <c r="AI654" i="1"/>
  <c r="AJ654" i="1" s="1"/>
  <c r="AF654" i="1"/>
  <c r="AE654" i="1"/>
  <c r="AA654" i="1"/>
  <c r="AB654" i="1" s="1"/>
  <c r="W654" i="1"/>
  <c r="X654" i="1" s="1"/>
  <c r="R654" i="1"/>
  <c r="S654" i="1" s="1"/>
  <c r="T654" i="1" s="1"/>
  <c r="G654" i="1"/>
  <c r="I654" i="1" s="1"/>
  <c r="AF653" i="1"/>
  <c r="AE653" i="1"/>
  <c r="G653" i="1"/>
  <c r="I653" i="1" s="1"/>
  <c r="AE652" i="1"/>
  <c r="AF652" i="1" s="1"/>
  <c r="I652" i="1"/>
  <c r="G652" i="1"/>
  <c r="I651" i="1"/>
  <c r="G651" i="1"/>
  <c r="AI650" i="1"/>
  <c r="AJ650" i="1" s="1"/>
  <c r="S650" i="1"/>
  <c r="T650" i="1" s="1"/>
  <c r="R650" i="1"/>
  <c r="O650" i="1"/>
  <c r="N650" i="1"/>
  <c r="M650" i="1"/>
  <c r="G650" i="1"/>
  <c r="I650" i="1" s="1"/>
  <c r="AE649" i="1"/>
  <c r="AF649" i="1" s="1"/>
  <c r="N649" i="1"/>
  <c r="O649" i="1" s="1"/>
  <c r="M649" i="1"/>
  <c r="G649" i="1"/>
  <c r="I649" i="1" s="1"/>
  <c r="AE648" i="1"/>
  <c r="AF648" i="1" s="1"/>
  <c r="R648" i="1"/>
  <c r="S648" i="1" s="1"/>
  <c r="T648" i="1" s="1"/>
  <c r="O648" i="1"/>
  <c r="M648" i="1"/>
  <c r="N648" i="1" s="1"/>
  <c r="I648" i="1"/>
  <c r="G648" i="1"/>
  <c r="R647" i="1"/>
  <c r="S647" i="1" s="1"/>
  <c r="T647" i="1" s="1"/>
  <c r="O647" i="1"/>
  <c r="M647" i="1"/>
  <c r="N647" i="1" s="1"/>
  <c r="G647" i="1"/>
  <c r="I647" i="1" s="1"/>
  <c r="AI646" i="1"/>
  <c r="AJ646" i="1" s="1"/>
  <c r="G646" i="1"/>
  <c r="I646" i="1" s="1"/>
  <c r="G645" i="1"/>
  <c r="I645" i="1" s="1"/>
  <c r="AF644" i="1"/>
  <c r="AE644" i="1"/>
  <c r="I644" i="1"/>
  <c r="G644" i="1"/>
  <c r="I643" i="1"/>
  <c r="G643" i="1"/>
  <c r="AI642" i="1"/>
  <c r="AJ642" i="1" s="1"/>
  <c r="AB642" i="1"/>
  <c r="AA642" i="1"/>
  <c r="G642" i="1"/>
  <c r="I642" i="1" s="1"/>
  <c r="AI641" i="1"/>
  <c r="AJ641" i="1" s="1"/>
  <c r="G641" i="1"/>
  <c r="I641" i="1" s="1"/>
  <c r="S640" i="1"/>
  <c r="T640" i="1" s="1"/>
  <c r="R640" i="1"/>
  <c r="N640" i="1"/>
  <c r="O640" i="1" s="1"/>
  <c r="M640" i="1"/>
  <c r="G640" i="1"/>
  <c r="I640" i="1" s="1"/>
  <c r="N639" i="1"/>
  <c r="O639" i="1" s="1"/>
  <c r="M639" i="1"/>
  <c r="I639" i="1"/>
  <c r="G639" i="1"/>
  <c r="R638" i="1"/>
  <c r="S638" i="1" s="1"/>
  <c r="T638" i="1" s="1"/>
  <c r="M638" i="1"/>
  <c r="N638" i="1" s="1"/>
  <c r="O638" i="1" s="1"/>
  <c r="I638" i="1"/>
  <c r="G638" i="1"/>
  <c r="M637" i="1"/>
  <c r="N637" i="1" s="1"/>
  <c r="O637" i="1" s="1"/>
  <c r="G637" i="1"/>
  <c r="I637" i="1" s="1"/>
  <c r="I636" i="1"/>
  <c r="G636" i="1"/>
  <c r="G635" i="1"/>
  <c r="I635" i="1" s="1"/>
  <c r="AE634" i="1"/>
  <c r="AF634" i="1" s="1"/>
  <c r="M634" i="1"/>
  <c r="N634" i="1" s="1"/>
  <c r="O634" i="1" s="1"/>
  <c r="I634" i="1"/>
  <c r="G634" i="1"/>
  <c r="I633" i="1"/>
  <c r="G633" i="1"/>
  <c r="AJ632" i="1"/>
  <c r="AI632" i="1"/>
  <c r="AE632" i="1"/>
  <c r="AF632" i="1" s="1"/>
  <c r="AB632" i="1"/>
  <c r="AA632" i="1"/>
  <c r="I632" i="1"/>
  <c r="G632" i="1"/>
  <c r="R631" i="1"/>
  <c r="S631" i="1" s="1"/>
  <c r="T631" i="1" s="1"/>
  <c r="I631" i="1"/>
  <c r="G631" i="1"/>
  <c r="S630" i="1"/>
  <c r="T630" i="1" s="1"/>
  <c r="R630" i="1"/>
  <c r="I630" i="1"/>
  <c r="G630" i="1"/>
  <c r="N629" i="1"/>
  <c r="O629" i="1" s="1"/>
  <c r="M629" i="1"/>
  <c r="G629" i="1"/>
  <c r="I629" i="1" s="1"/>
  <c r="N628" i="1"/>
  <c r="O628" i="1" s="1"/>
  <c r="M628" i="1"/>
  <c r="G628" i="1"/>
  <c r="I628" i="1" s="1"/>
  <c r="AF627" i="1"/>
  <c r="AE627" i="1"/>
  <c r="T627" i="1"/>
  <c r="R627" i="1"/>
  <c r="S627" i="1" s="1"/>
  <c r="G627" i="1"/>
  <c r="I627" i="1" s="1"/>
  <c r="AE626" i="1"/>
  <c r="AF626" i="1" s="1"/>
  <c r="N626" i="1"/>
  <c r="O626" i="1" s="1"/>
  <c r="M626" i="1"/>
  <c r="I626" i="1"/>
  <c r="G626" i="1"/>
  <c r="AI625" i="1"/>
  <c r="AJ625" i="1" s="1"/>
  <c r="I625" i="1"/>
  <c r="G625" i="1"/>
  <c r="O624" i="1"/>
  <c r="M624" i="1"/>
  <c r="N624" i="1" s="1"/>
  <c r="G624" i="1"/>
  <c r="I624" i="1" s="1"/>
  <c r="O623" i="1"/>
  <c r="N623" i="1"/>
  <c r="M623" i="1"/>
  <c r="I623" i="1"/>
  <c r="G623" i="1"/>
  <c r="M622" i="1"/>
  <c r="N622" i="1" s="1"/>
  <c r="O622" i="1" s="1"/>
  <c r="G622" i="1"/>
  <c r="I622" i="1" s="1"/>
  <c r="AE621" i="1"/>
  <c r="AF621" i="1" s="1"/>
  <c r="AA621" i="1"/>
  <c r="AB621" i="1" s="1"/>
  <c r="W621" i="1"/>
  <c r="X621" i="1" s="1"/>
  <c r="G621" i="1"/>
  <c r="I621" i="1" s="1"/>
  <c r="W620" i="1"/>
  <c r="X620" i="1" s="1"/>
  <c r="N620" i="1"/>
  <c r="O620" i="1" s="1"/>
  <c r="M620" i="1"/>
  <c r="I620" i="1"/>
  <c r="G620" i="1"/>
  <c r="X619" i="1"/>
  <c r="W619" i="1"/>
  <c r="I619" i="1"/>
  <c r="G619" i="1"/>
  <c r="X618" i="1"/>
  <c r="W618" i="1"/>
  <c r="M618" i="1"/>
  <c r="N618" i="1" s="1"/>
  <c r="O618" i="1" s="1"/>
  <c r="G618" i="1"/>
  <c r="I618" i="1" s="1"/>
  <c r="S617" i="1"/>
  <c r="T617" i="1" s="1"/>
  <c r="R617" i="1"/>
  <c r="G617" i="1"/>
  <c r="I617" i="1" s="1"/>
  <c r="T616" i="1"/>
  <c r="R616" i="1"/>
  <c r="S616" i="1" s="1"/>
  <c r="G616" i="1"/>
  <c r="I616" i="1" s="1"/>
  <c r="G615" i="1"/>
  <c r="I615" i="1" s="1"/>
  <c r="AE614" i="1"/>
  <c r="AF614" i="1" s="1"/>
  <c r="G614" i="1"/>
  <c r="I614" i="1" s="1"/>
  <c r="AI613" i="1"/>
  <c r="AJ613" i="1" s="1"/>
  <c r="G613" i="1"/>
  <c r="I613" i="1" s="1"/>
  <c r="AA612" i="1"/>
  <c r="AB612" i="1" s="1"/>
  <c r="W612" i="1"/>
  <c r="X612" i="1" s="1"/>
  <c r="S612" i="1"/>
  <c r="T612" i="1" s="1"/>
  <c r="R612" i="1"/>
  <c r="N612" i="1"/>
  <c r="O612" i="1" s="1"/>
  <c r="M612" i="1"/>
  <c r="G612" i="1"/>
  <c r="I612" i="1" s="1"/>
  <c r="AE611" i="1"/>
  <c r="AF611" i="1" s="1"/>
  <c r="M611" i="1"/>
  <c r="N611" i="1" s="1"/>
  <c r="O611" i="1" s="1"/>
  <c r="I611" i="1"/>
  <c r="G611" i="1"/>
  <c r="O610" i="1"/>
  <c r="M610" i="1"/>
  <c r="N610" i="1" s="1"/>
  <c r="G610" i="1"/>
  <c r="I610" i="1" s="1"/>
  <c r="AE609" i="1"/>
  <c r="AF609" i="1" s="1"/>
  <c r="N609" i="1"/>
  <c r="O609" i="1" s="1"/>
  <c r="M609" i="1"/>
  <c r="I609" i="1"/>
  <c r="G609" i="1"/>
  <c r="AJ608" i="1"/>
  <c r="AI608" i="1"/>
  <c r="AB608" i="1"/>
  <c r="AA608" i="1"/>
  <c r="X608" i="1"/>
  <c r="W608" i="1"/>
  <c r="R608" i="1"/>
  <c r="S608" i="1" s="1"/>
  <c r="T608" i="1" s="1"/>
  <c r="I608" i="1"/>
  <c r="G608" i="1"/>
  <c r="W607" i="1"/>
  <c r="X607" i="1" s="1"/>
  <c r="S607" i="1"/>
  <c r="T607" i="1" s="1"/>
  <c r="R607" i="1"/>
  <c r="G607" i="1"/>
  <c r="I607" i="1" s="1"/>
  <c r="I606" i="1"/>
  <c r="G606" i="1"/>
  <c r="I605" i="1"/>
  <c r="G605" i="1"/>
  <c r="I604" i="1"/>
  <c r="G604" i="1"/>
  <c r="AA603" i="1"/>
  <c r="AB603" i="1" s="1"/>
  <c r="I603" i="1"/>
  <c r="G603" i="1"/>
  <c r="X602" i="1"/>
  <c r="W602" i="1"/>
  <c r="I602" i="1"/>
  <c r="G602" i="1"/>
  <c r="N601" i="1"/>
  <c r="O601" i="1" s="1"/>
  <c r="M601" i="1"/>
  <c r="G601" i="1"/>
  <c r="I601" i="1" s="1"/>
  <c r="G600" i="1"/>
  <c r="I600" i="1" s="1"/>
  <c r="M599" i="1"/>
  <c r="N599" i="1" s="1"/>
  <c r="O599" i="1" s="1"/>
  <c r="I599" i="1"/>
  <c r="G599" i="1"/>
  <c r="O598" i="1"/>
  <c r="M598" i="1"/>
  <c r="N598" i="1" s="1"/>
  <c r="G598" i="1"/>
  <c r="I598" i="1" s="1"/>
  <c r="O597" i="1"/>
  <c r="N597" i="1"/>
  <c r="M597" i="1"/>
  <c r="I597" i="1"/>
  <c r="G597" i="1"/>
  <c r="I596" i="1"/>
  <c r="G596" i="1"/>
  <c r="AJ595" i="1"/>
  <c r="AI595" i="1"/>
  <c r="AF595" i="1"/>
  <c r="AE595" i="1"/>
  <c r="AB595" i="1"/>
  <c r="AA595" i="1"/>
  <c r="I595" i="1"/>
  <c r="G595" i="1"/>
  <c r="O594" i="1"/>
  <c r="N594" i="1"/>
  <c r="M594" i="1"/>
  <c r="G594" i="1"/>
  <c r="I594" i="1" s="1"/>
  <c r="S593" i="1"/>
  <c r="T593" i="1" s="1"/>
  <c r="R593" i="1"/>
  <c r="M593" i="1"/>
  <c r="N593" i="1" s="1"/>
  <c r="O593" i="1" s="1"/>
  <c r="G593" i="1"/>
  <c r="I593" i="1" s="1"/>
  <c r="S592" i="1"/>
  <c r="T592" i="1" s="1"/>
  <c r="R592" i="1"/>
  <c r="G592" i="1"/>
  <c r="I592" i="1" s="1"/>
  <c r="AF591" i="1"/>
  <c r="AE591" i="1"/>
  <c r="AB591" i="1"/>
  <c r="AA591" i="1"/>
  <c r="X591" i="1"/>
  <c r="W591" i="1"/>
  <c r="G591" i="1"/>
  <c r="I591" i="1" s="1"/>
  <c r="T590" i="1"/>
  <c r="R590" i="1"/>
  <c r="S590" i="1" s="1"/>
  <c r="G590" i="1"/>
  <c r="I590" i="1" s="1"/>
  <c r="S589" i="1"/>
  <c r="T589" i="1" s="1"/>
  <c r="R589" i="1"/>
  <c r="I589" i="1"/>
  <c r="G589" i="1"/>
  <c r="T588" i="1"/>
  <c r="R588" i="1"/>
  <c r="S588" i="1" s="1"/>
  <c r="G588" i="1"/>
  <c r="I588" i="1" s="1"/>
  <c r="T587" i="1"/>
  <c r="S587" i="1"/>
  <c r="R587" i="1"/>
  <c r="M587" i="1"/>
  <c r="N587" i="1" s="1"/>
  <c r="O587" i="1" s="1"/>
  <c r="G587" i="1"/>
  <c r="I587" i="1" s="1"/>
  <c r="T586" i="1"/>
  <c r="M586" i="1"/>
  <c r="N586" i="1" s="1"/>
  <c r="O586" i="1" s="1"/>
  <c r="G586" i="1"/>
  <c r="I586" i="1" s="1"/>
  <c r="R585" i="1"/>
  <c r="S585" i="1" s="1"/>
  <c r="T585" i="1" s="1"/>
  <c r="I585" i="1"/>
  <c r="G585" i="1"/>
  <c r="AF584" i="1"/>
  <c r="AE584" i="1"/>
  <c r="R584" i="1"/>
  <c r="S584" i="1" s="1"/>
  <c r="T584" i="1" s="1"/>
  <c r="I584" i="1"/>
  <c r="G584" i="1"/>
  <c r="G583" i="1"/>
  <c r="I583" i="1" s="1"/>
  <c r="AE582" i="1"/>
  <c r="AF582" i="1" s="1"/>
  <c r="R582" i="1"/>
  <c r="S582" i="1" s="1"/>
  <c r="T582" i="1" s="1"/>
  <c r="M582" i="1"/>
  <c r="N582" i="1" s="1"/>
  <c r="O582" i="1" s="1"/>
  <c r="G582" i="1"/>
  <c r="I582" i="1" s="1"/>
  <c r="AI581" i="1"/>
  <c r="AJ581" i="1" s="1"/>
  <c r="G581" i="1"/>
  <c r="I581" i="1" s="1"/>
  <c r="AE580" i="1"/>
  <c r="AF580" i="1" s="1"/>
  <c r="AA580" i="1"/>
  <c r="AB580" i="1" s="1"/>
  <c r="G580" i="1"/>
  <c r="I580" i="1" s="1"/>
  <c r="AF579" i="1"/>
  <c r="AE579" i="1"/>
  <c r="N579" i="1"/>
  <c r="O579" i="1" s="1"/>
  <c r="M579" i="1"/>
  <c r="I579" i="1"/>
  <c r="G579" i="1"/>
  <c r="I578" i="1"/>
  <c r="G578" i="1"/>
  <c r="AF577" i="1"/>
  <c r="AE577" i="1"/>
  <c r="R577" i="1"/>
  <c r="S577" i="1" s="1"/>
  <c r="T577" i="1" s="1"/>
  <c r="M577" i="1"/>
  <c r="N577" i="1" s="1"/>
  <c r="O577" i="1" s="1"/>
  <c r="I577" i="1"/>
  <c r="G577" i="1"/>
  <c r="AJ576" i="1"/>
  <c r="AI576" i="1"/>
  <c r="AB576" i="1"/>
  <c r="AA576" i="1"/>
  <c r="W576" i="1"/>
  <c r="X576" i="1" s="1"/>
  <c r="I576" i="1"/>
  <c r="G576" i="1"/>
  <c r="I575" i="1"/>
  <c r="G575" i="1"/>
  <c r="R574" i="1"/>
  <c r="S574" i="1" s="1"/>
  <c r="T574" i="1" s="1"/>
  <c r="G574" i="1"/>
  <c r="I574" i="1" s="1"/>
  <c r="G573" i="1"/>
  <c r="I573" i="1" s="1"/>
  <c r="AA572" i="1"/>
  <c r="AB572" i="1" s="1"/>
  <c r="G572" i="1"/>
  <c r="I572" i="1" s="1"/>
  <c r="T571" i="1"/>
  <c r="S571" i="1"/>
  <c r="R571" i="1"/>
  <c r="M571" i="1"/>
  <c r="N571" i="1" s="1"/>
  <c r="O571" i="1" s="1"/>
  <c r="G571" i="1"/>
  <c r="I571" i="1" s="1"/>
  <c r="AF570" i="1"/>
  <c r="AE570" i="1"/>
  <c r="S570" i="1"/>
  <c r="T570" i="1" s="1"/>
  <c r="R570" i="1"/>
  <c r="M570" i="1"/>
  <c r="N570" i="1" s="1"/>
  <c r="O570" i="1" s="1"/>
  <c r="G570" i="1"/>
  <c r="I570" i="1" s="1"/>
  <c r="T569" i="1"/>
  <c r="I569" i="1"/>
  <c r="G569" i="1"/>
  <c r="AF568" i="1"/>
  <c r="AE568" i="1"/>
  <c r="R568" i="1"/>
  <c r="S568" i="1" s="1"/>
  <c r="T568" i="1" s="1"/>
  <c r="N568" i="1"/>
  <c r="O568" i="1" s="1"/>
  <c r="M568" i="1"/>
  <c r="I568" i="1"/>
  <c r="G568" i="1"/>
  <c r="AJ567" i="1"/>
  <c r="AI567" i="1"/>
  <c r="AB567" i="1"/>
  <c r="AA567" i="1"/>
  <c r="X567" i="1"/>
  <c r="W567" i="1"/>
  <c r="I567" i="1"/>
  <c r="G567" i="1"/>
  <c r="AJ566" i="1"/>
  <c r="AI566" i="1"/>
  <c r="AF566" i="1"/>
  <c r="AE566" i="1"/>
  <c r="AB566" i="1"/>
  <c r="AA566" i="1"/>
  <c r="X566" i="1"/>
  <c r="W566" i="1"/>
  <c r="R566" i="1"/>
  <c r="S566" i="1" s="1"/>
  <c r="T566" i="1" s="1"/>
  <c r="N566" i="1"/>
  <c r="O566" i="1" s="1"/>
  <c r="M566" i="1"/>
  <c r="I566" i="1"/>
  <c r="G566" i="1"/>
  <c r="T565" i="1"/>
  <c r="S565" i="1"/>
  <c r="R565" i="1"/>
  <c r="G565" i="1"/>
  <c r="I565" i="1" s="1"/>
  <c r="T564" i="1"/>
  <c r="I564" i="1"/>
  <c r="G564" i="1"/>
  <c r="S563" i="1"/>
  <c r="T563" i="1" s="1"/>
  <c r="R563" i="1"/>
  <c r="G563" i="1"/>
  <c r="I563" i="1" s="1"/>
  <c r="AE562" i="1"/>
  <c r="AF562" i="1" s="1"/>
  <c r="AA562" i="1"/>
  <c r="AB562" i="1" s="1"/>
  <c r="W562" i="1"/>
  <c r="X562" i="1" s="1"/>
  <c r="N562" i="1"/>
  <c r="O562" i="1" s="1"/>
  <c r="M562" i="1"/>
  <c r="I562" i="1"/>
  <c r="G562" i="1"/>
  <c r="AI561" i="1"/>
  <c r="AJ561" i="1" s="1"/>
  <c r="AF561" i="1"/>
  <c r="AE561" i="1"/>
  <c r="I561" i="1"/>
  <c r="G561" i="1"/>
  <c r="AJ560" i="1"/>
  <c r="AI560" i="1"/>
  <c r="AE560" i="1"/>
  <c r="AF560" i="1" s="1"/>
  <c r="AB560" i="1"/>
  <c r="AA560" i="1"/>
  <c r="I560" i="1"/>
  <c r="G560" i="1"/>
  <c r="I559" i="1"/>
  <c r="G559" i="1"/>
  <c r="G558" i="1"/>
  <c r="I558" i="1" s="1"/>
  <c r="M557" i="1"/>
  <c r="N557" i="1" s="1"/>
  <c r="O557" i="1" s="1"/>
  <c r="G557" i="1"/>
  <c r="I557" i="1" s="1"/>
  <c r="AI556" i="1"/>
  <c r="AJ556" i="1" s="1"/>
  <c r="AF556" i="1"/>
  <c r="AE556" i="1"/>
  <c r="G556" i="1"/>
  <c r="I556" i="1" s="1"/>
  <c r="AI555" i="1"/>
  <c r="AJ555" i="1" s="1"/>
  <c r="AE555" i="1"/>
  <c r="AF555" i="1" s="1"/>
  <c r="I555" i="1"/>
  <c r="G555" i="1"/>
  <c r="AI554" i="1"/>
  <c r="AJ554" i="1" s="1"/>
  <c r="AE554" i="1"/>
  <c r="AF554" i="1" s="1"/>
  <c r="G554" i="1"/>
  <c r="I554" i="1" s="1"/>
  <c r="AE553" i="1"/>
  <c r="AF553" i="1" s="1"/>
  <c r="AA553" i="1"/>
  <c r="AB553" i="1" s="1"/>
  <c r="G553" i="1"/>
  <c r="I553" i="1" s="1"/>
  <c r="AI552" i="1"/>
  <c r="AJ552" i="1" s="1"/>
  <c r="AF552" i="1"/>
  <c r="AE552" i="1"/>
  <c r="AA552" i="1"/>
  <c r="AB552" i="1" s="1"/>
  <c r="G552" i="1"/>
  <c r="I552" i="1" s="1"/>
  <c r="AE551" i="1"/>
  <c r="AF551" i="1" s="1"/>
  <c r="AB551" i="1"/>
  <c r="AA551" i="1"/>
  <c r="W551" i="1"/>
  <c r="X551" i="1" s="1"/>
  <c r="S551" i="1"/>
  <c r="T551" i="1" s="1"/>
  <c r="R551" i="1"/>
  <c r="G551" i="1"/>
  <c r="I551" i="1" s="1"/>
  <c r="AJ550" i="1"/>
  <c r="AI550" i="1"/>
  <c r="AF550" i="1"/>
  <c r="AE550" i="1"/>
  <c r="I550" i="1"/>
  <c r="G550" i="1"/>
  <c r="R549" i="1"/>
  <c r="S549" i="1" s="1"/>
  <c r="T549" i="1" s="1"/>
  <c r="G549" i="1"/>
  <c r="I549" i="1" s="1"/>
  <c r="G548" i="1"/>
  <c r="I548" i="1" s="1"/>
  <c r="G547" i="1"/>
  <c r="I547" i="1" s="1"/>
  <c r="AB546" i="1"/>
  <c r="AA546" i="1"/>
  <c r="W546" i="1"/>
  <c r="X546" i="1" s="1"/>
  <c r="G546" i="1"/>
  <c r="I546" i="1" s="1"/>
  <c r="AE545" i="1"/>
  <c r="AF545" i="1" s="1"/>
  <c r="AB545" i="1"/>
  <c r="AA545" i="1"/>
  <c r="W545" i="1"/>
  <c r="X545" i="1" s="1"/>
  <c r="S545" i="1"/>
  <c r="T545" i="1" s="1"/>
  <c r="R545" i="1"/>
  <c r="M545" i="1"/>
  <c r="N545" i="1" s="1"/>
  <c r="O545" i="1" s="1"/>
  <c r="G545" i="1"/>
  <c r="I545" i="1" s="1"/>
  <c r="AI544" i="1"/>
  <c r="AJ544" i="1" s="1"/>
  <c r="AE544" i="1"/>
  <c r="AF544" i="1" s="1"/>
  <c r="AB544" i="1"/>
  <c r="AA544" i="1"/>
  <c r="G544" i="1"/>
  <c r="I544" i="1" s="1"/>
  <c r="AA543" i="1"/>
  <c r="AB543" i="1" s="1"/>
  <c r="G543" i="1"/>
  <c r="I543" i="1" s="1"/>
  <c r="R542" i="1"/>
  <c r="S542" i="1" s="1"/>
  <c r="T542" i="1" s="1"/>
  <c r="O542" i="1"/>
  <c r="M542" i="1"/>
  <c r="N542" i="1" s="1"/>
  <c r="G542" i="1"/>
  <c r="I542" i="1" s="1"/>
  <c r="I541" i="1"/>
  <c r="G541" i="1"/>
  <c r="AF540" i="1"/>
  <c r="AE540" i="1"/>
  <c r="N540" i="1"/>
  <c r="O540" i="1" s="1"/>
  <c r="M540" i="1"/>
  <c r="G540" i="1"/>
  <c r="I540" i="1" s="1"/>
  <c r="G539" i="1"/>
  <c r="I539" i="1" s="1"/>
  <c r="T538" i="1"/>
  <c r="R538" i="1"/>
  <c r="S538" i="1" s="1"/>
  <c r="N538" i="1"/>
  <c r="O538" i="1" s="1"/>
  <c r="M538" i="1"/>
  <c r="G538" i="1"/>
  <c r="I538" i="1" s="1"/>
  <c r="T537" i="1"/>
  <c r="R537" i="1"/>
  <c r="S537" i="1" s="1"/>
  <c r="G537" i="1"/>
  <c r="I537" i="1" s="1"/>
  <c r="S536" i="1"/>
  <c r="T536" i="1" s="1"/>
  <c r="R536" i="1"/>
  <c r="M536" i="1"/>
  <c r="N536" i="1" s="1"/>
  <c r="O536" i="1" s="1"/>
  <c r="G536" i="1"/>
  <c r="I536" i="1" s="1"/>
  <c r="AF535" i="1"/>
  <c r="AE535" i="1"/>
  <c r="AA535" i="1"/>
  <c r="AB535" i="1" s="1"/>
  <c r="W535" i="1"/>
  <c r="X535" i="1" s="1"/>
  <c r="G535" i="1"/>
  <c r="I535" i="1" s="1"/>
  <c r="W534" i="1"/>
  <c r="X534" i="1" s="1"/>
  <c r="G534" i="1"/>
  <c r="I534" i="1" s="1"/>
  <c r="N533" i="1"/>
  <c r="O533" i="1" s="1"/>
  <c r="M533" i="1"/>
  <c r="I533" i="1"/>
  <c r="G533" i="1"/>
  <c r="AA532" i="1"/>
  <c r="AB532" i="1" s="1"/>
  <c r="I532" i="1"/>
  <c r="G532" i="1"/>
  <c r="M531" i="1"/>
  <c r="N531" i="1" s="1"/>
  <c r="O531" i="1" s="1"/>
  <c r="I531" i="1"/>
  <c r="G531" i="1"/>
  <c r="G530" i="1"/>
  <c r="I530" i="1" s="1"/>
  <c r="N529" i="1"/>
  <c r="O529" i="1" s="1"/>
  <c r="M529" i="1"/>
  <c r="G529" i="1"/>
  <c r="I529" i="1" s="1"/>
  <c r="R528" i="1"/>
  <c r="S528" i="1" s="1"/>
  <c r="T528" i="1" s="1"/>
  <c r="G528" i="1"/>
  <c r="I528" i="1" s="1"/>
  <c r="AA527" i="1"/>
  <c r="AB527" i="1" s="1"/>
  <c r="O527" i="1"/>
  <c r="M527" i="1"/>
  <c r="N527" i="1" s="1"/>
  <c r="I527" i="1"/>
  <c r="G527" i="1"/>
  <c r="R526" i="1"/>
  <c r="S526" i="1" s="1"/>
  <c r="T526" i="1" s="1"/>
  <c r="N526" i="1"/>
  <c r="O526" i="1" s="1"/>
  <c r="M526" i="1"/>
  <c r="I526" i="1"/>
  <c r="G526" i="1"/>
  <c r="R525" i="1"/>
  <c r="S525" i="1" s="1"/>
  <c r="T525" i="1" s="1"/>
  <c r="N525" i="1"/>
  <c r="O525" i="1" s="1"/>
  <c r="M525" i="1"/>
  <c r="I525" i="1"/>
  <c r="G525" i="1"/>
  <c r="X524" i="1"/>
  <c r="W524" i="1"/>
  <c r="S524" i="1"/>
  <c r="T524" i="1" s="1"/>
  <c r="R524" i="1"/>
  <c r="O524" i="1"/>
  <c r="N524" i="1"/>
  <c r="M524" i="1"/>
  <c r="I524" i="1"/>
  <c r="G524" i="1"/>
  <c r="AI523" i="1"/>
  <c r="AJ523" i="1" s="1"/>
  <c r="AF523" i="1"/>
  <c r="AE523" i="1"/>
  <c r="AB523" i="1"/>
  <c r="AA523" i="1"/>
  <c r="I523" i="1"/>
  <c r="G523" i="1"/>
  <c r="S522" i="1"/>
  <c r="T522" i="1" s="1"/>
  <c r="R522" i="1"/>
  <c r="O522" i="1"/>
  <c r="N522" i="1"/>
  <c r="M522" i="1"/>
  <c r="I522" i="1"/>
  <c r="G522" i="1"/>
  <c r="G521" i="1"/>
  <c r="I521" i="1" s="1"/>
  <c r="T520" i="1"/>
  <c r="S520" i="1"/>
  <c r="R520" i="1"/>
  <c r="N520" i="1"/>
  <c r="O520" i="1" s="1"/>
  <c r="M520" i="1"/>
  <c r="G520" i="1"/>
  <c r="I520" i="1" s="1"/>
  <c r="AI519" i="1"/>
  <c r="AJ519" i="1" s="1"/>
  <c r="AF519" i="1"/>
  <c r="AE519" i="1"/>
  <c r="I519" i="1"/>
  <c r="G519" i="1"/>
  <c r="AI518" i="1"/>
  <c r="AJ518" i="1" s="1"/>
  <c r="AE518" i="1"/>
  <c r="AF518" i="1" s="1"/>
  <c r="X518" i="1"/>
  <c r="W518" i="1"/>
  <c r="T518" i="1"/>
  <c r="R518" i="1"/>
  <c r="S518" i="1" s="1"/>
  <c r="M518" i="1"/>
  <c r="N518" i="1" s="1"/>
  <c r="O518" i="1" s="1"/>
  <c r="I518" i="1"/>
  <c r="G518" i="1"/>
  <c r="AI517" i="1"/>
  <c r="AJ517" i="1" s="1"/>
  <c r="AF517" i="1"/>
  <c r="AE517" i="1"/>
  <c r="AA517" i="1"/>
  <c r="AB517" i="1" s="1"/>
  <c r="X517" i="1"/>
  <c r="W517" i="1"/>
  <c r="S517" i="1"/>
  <c r="T517" i="1" s="1"/>
  <c r="R517" i="1"/>
  <c r="M517" i="1"/>
  <c r="N517" i="1" s="1"/>
  <c r="O517" i="1" s="1"/>
  <c r="I517" i="1"/>
  <c r="G517" i="1"/>
  <c r="AI516" i="1"/>
  <c r="AJ516" i="1" s="1"/>
  <c r="AF516" i="1"/>
  <c r="AE516" i="1"/>
  <c r="G516" i="1"/>
  <c r="I516" i="1" s="1"/>
  <c r="S515" i="1"/>
  <c r="T515" i="1" s="1"/>
  <c r="R515" i="1"/>
  <c r="I515" i="1"/>
  <c r="G515" i="1"/>
  <c r="T514" i="1"/>
  <c r="G514" i="1"/>
  <c r="I514" i="1" s="1"/>
  <c r="T513" i="1"/>
  <c r="S513" i="1"/>
  <c r="R513" i="1"/>
  <c r="I513" i="1"/>
  <c r="G513" i="1"/>
  <c r="AA512" i="1"/>
  <c r="AB512" i="1" s="1"/>
  <c r="X512" i="1"/>
  <c r="W512" i="1"/>
  <c r="I512" i="1"/>
  <c r="G512" i="1"/>
  <c r="O511" i="1"/>
  <c r="N511" i="1"/>
  <c r="M511" i="1"/>
  <c r="G511" i="1"/>
  <c r="I511" i="1" s="1"/>
  <c r="O510" i="1"/>
  <c r="N510" i="1"/>
  <c r="M510" i="1"/>
  <c r="I510" i="1"/>
  <c r="G510" i="1"/>
  <c r="R509" i="1"/>
  <c r="S509" i="1" s="1"/>
  <c r="T509" i="1" s="1"/>
  <c r="I509" i="1"/>
  <c r="G509" i="1"/>
  <c r="AI508" i="1"/>
  <c r="AJ508" i="1" s="1"/>
  <c r="AF508" i="1"/>
  <c r="AE508" i="1"/>
  <c r="AA508" i="1"/>
  <c r="AB508" i="1" s="1"/>
  <c r="W508" i="1"/>
  <c r="X508" i="1" s="1"/>
  <c r="G508" i="1"/>
  <c r="I508" i="1" s="1"/>
  <c r="R507" i="1"/>
  <c r="S507" i="1" s="1"/>
  <c r="T507" i="1" s="1"/>
  <c r="M507" i="1"/>
  <c r="N507" i="1" s="1"/>
  <c r="O507" i="1" s="1"/>
  <c r="G507" i="1"/>
  <c r="I507" i="1" s="1"/>
  <c r="M506" i="1"/>
  <c r="N506" i="1" s="1"/>
  <c r="O506" i="1" s="1"/>
  <c r="I506" i="1"/>
  <c r="G506" i="1"/>
  <c r="M505" i="1"/>
  <c r="N505" i="1" s="1"/>
  <c r="O505" i="1" s="1"/>
  <c r="I505" i="1"/>
  <c r="G505" i="1"/>
  <c r="G504" i="1"/>
  <c r="I504" i="1" s="1"/>
  <c r="S503" i="1"/>
  <c r="T503" i="1" s="1"/>
  <c r="R503" i="1"/>
  <c r="I503" i="1"/>
  <c r="G503" i="1"/>
  <c r="G502" i="1"/>
  <c r="I502" i="1" s="1"/>
  <c r="M501" i="1"/>
  <c r="N501" i="1" s="1"/>
  <c r="O501" i="1" s="1"/>
  <c r="G501" i="1"/>
  <c r="I501" i="1" s="1"/>
  <c r="M500" i="1"/>
  <c r="N500" i="1" s="1"/>
  <c r="O500" i="1" s="1"/>
  <c r="G500" i="1"/>
  <c r="I500" i="1" s="1"/>
  <c r="M499" i="1"/>
  <c r="N499" i="1" s="1"/>
  <c r="O499" i="1" s="1"/>
  <c r="I499" i="1"/>
  <c r="G499" i="1"/>
  <c r="N498" i="1"/>
  <c r="O498" i="1" s="1"/>
  <c r="M498" i="1"/>
  <c r="I498" i="1"/>
  <c r="G498" i="1"/>
  <c r="I497" i="1"/>
  <c r="G497" i="1"/>
  <c r="R496" i="1"/>
  <c r="S496" i="1" s="1"/>
  <c r="T496" i="1" s="1"/>
  <c r="G496" i="1"/>
  <c r="I496" i="1" s="1"/>
  <c r="N495" i="1"/>
  <c r="O495" i="1" s="1"/>
  <c r="M495" i="1"/>
  <c r="G495" i="1"/>
  <c r="I495" i="1" s="1"/>
  <c r="G494" i="1"/>
  <c r="I494" i="1" s="1"/>
  <c r="I493" i="1"/>
  <c r="G493" i="1"/>
  <c r="X492" i="1"/>
  <c r="W492" i="1"/>
  <c r="R492" i="1"/>
  <c r="S492" i="1" s="1"/>
  <c r="T492" i="1" s="1"/>
  <c r="I492" i="1"/>
  <c r="G492" i="1"/>
  <c r="AI491" i="1"/>
  <c r="AJ491" i="1" s="1"/>
  <c r="M491" i="1"/>
  <c r="N491" i="1" s="1"/>
  <c r="O491" i="1" s="1"/>
  <c r="G491" i="1"/>
  <c r="I491" i="1" s="1"/>
  <c r="AJ490" i="1"/>
  <c r="AI490" i="1"/>
  <c r="AF490" i="1"/>
  <c r="AE490" i="1"/>
  <c r="AA490" i="1"/>
  <c r="AB490" i="1" s="1"/>
  <c r="R490" i="1"/>
  <c r="S490" i="1" s="1"/>
  <c r="T490" i="1" s="1"/>
  <c r="N490" i="1"/>
  <c r="O490" i="1" s="1"/>
  <c r="M490" i="1"/>
  <c r="G490" i="1"/>
  <c r="I490" i="1" s="1"/>
  <c r="M489" i="1"/>
  <c r="N489" i="1" s="1"/>
  <c r="O489" i="1" s="1"/>
  <c r="G489" i="1"/>
  <c r="I489" i="1" s="1"/>
  <c r="I488" i="1"/>
  <c r="G488" i="1"/>
  <c r="R487" i="1"/>
  <c r="S487" i="1" s="1"/>
  <c r="T487" i="1" s="1"/>
  <c r="I487" i="1"/>
  <c r="G487" i="1"/>
  <c r="AJ486" i="1"/>
  <c r="AI486" i="1"/>
  <c r="AE486" i="1"/>
  <c r="AF486" i="1" s="1"/>
  <c r="AB486" i="1"/>
  <c r="AA486" i="1"/>
  <c r="X486" i="1"/>
  <c r="W486" i="1"/>
  <c r="T486" i="1"/>
  <c r="S486" i="1"/>
  <c r="R486" i="1"/>
  <c r="N486" i="1"/>
  <c r="O486" i="1" s="1"/>
  <c r="M486" i="1"/>
  <c r="I486" i="1"/>
  <c r="G486" i="1"/>
  <c r="T485" i="1"/>
  <c r="S485" i="1"/>
  <c r="R485" i="1"/>
  <c r="G485" i="1"/>
  <c r="I485" i="1" s="1"/>
  <c r="I484" i="1"/>
  <c r="G484" i="1"/>
  <c r="G483" i="1"/>
  <c r="I483" i="1" s="1"/>
  <c r="AB482" i="1"/>
  <c r="AA482" i="1"/>
  <c r="W482" i="1"/>
  <c r="X482" i="1" s="1"/>
  <c r="G482" i="1"/>
  <c r="I482" i="1" s="1"/>
  <c r="AE481" i="1"/>
  <c r="AF481" i="1" s="1"/>
  <c r="I481" i="1"/>
  <c r="G481" i="1"/>
  <c r="AI480" i="1"/>
  <c r="AJ480" i="1" s="1"/>
  <c r="AA480" i="1"/>
  <c r="AB480" i="1" s="1"/>
  <c r="W480" i="1"/>
  <c r="X480" i="1" s="1"/>
  <c r="I480" i="1"/>
  <c r="G480" i="1"/>
  <c r="AE479" i="1"/>
  <c r="AF479" i="1" s="1"/>
  <c r="AA479" i="1"/>
  <c r="AB479" i="1" s="1"/>
  <c r="W479" i="1"/>
  <c r="X479" i="1" s="1"/>
  <c r="R479" i="1"/>
  <c r="S479" i="1" s="1"/>
  <c r="T479" i="1" s="1"/>
  <c r="M479" i="1"/>
  <c r="N479" i="1" s="1"/>
  <c r="O479" i="1" s="1"/>
  <c r="G479" i="1"/>
  <c r="I479" i="1" s="1"/>
  <c r="M478" i="1"/>
  <c r="N478" i="1" s="1"/>
  <c r="O478" i="1" s="1"/>
  <c r="I478" i="1"/>
  <c r="G478" i="1"/>
  <c r="O477" i="1"/>
  <c r="M477" i="1"/>
  <c r="N477" i="1" s="1"/>
  <c r="I477" i="1"/>
  <c r="G477" i="1"/>
  <c r="AA476" i="1"/>
  <c r="AB476" i="1" s="1"/>
  <c r="G476" i="1"/>
  <c r="I476" i="1" s="1"/>
  <c r="AA475" i="1"/>
  <c r="AB475" i="1" s="1"/>
  <c r="X475" i="1"/>
  <c r="W475" i="1"/>
  <c r="R475" i="1"/>
  <c r="S475" i="1" s="1"/>
  <c r="T475" i="1" s="1"/>
  <c r="I475" i="1"/>
  <c r="G475" i="1"/>
  <c r="AF474" i="1"/>
  <c r="AE474" i="1"/>
  <c r="M474" i="1"/>
  <c r="N474" i="1" s="1"/>
  <c r="O474" i="1" s="1"/>
  <c r="G474" i="1"/>
  <c r="I474" i="1" s="1"/>
  <c r="AE473" i="1"/>
  <c r="AF473" i="1" s="1"/>
  <c r="AB473" i="1"/>
  <c r="AA473" i="1"/>
  <c r="W473" i="1"/>
  <c r="X473" i="1" s="1"/>
  <c r="S473" i="1"/>
  <c r="T473" i="1" s="1"/>
  <c r="R473" i="1"/>
  <c r="I473" i="1"/>
  <c r="G473" i="1"/>
  <c r="AA472" i="1"/>
  <c r="AB472" i="1" s="1"/>
  <c r="W472" i="1"/>
  <c r="X472" i="1" s="1"/>
  <c r="R472" i="1"/>
  <c r="S472" i="1" s="1"/>
  <c r="T472" i="1" s="1"/>
  <c r="M472" i="1"/>
  <c r="N472" i="1" s="1"/>
  <c r="O472" i="1" s="1"/>
  <c r="G472" i="1"/>
  <c r="I472" i="1" s="1"/>
  <c r="T471" i="1"/>
  <c r="R471" i="1"/>
  <c r="S471" i="1" s="1"/>
  <c r="M471" i="1"/>
  <c r="N471" i="1" s="1"/>
  <c r="O471" i="1" s="1"/>
  <c r="G471" i="1"/>
  <c r="I471" i="1" s="1"/>
  <c r="AJ470" i="1"/>
  <c r="AI470" i="1"/>
  <c r="AF470" i="1"/>
  <c r="AE470" i="1"/>
  <c r="G470" i="1"/>
  <c r="I470" i="1" s="1"/>
  <c r="AF469" i="1"/>
  <c r="AE469" i="1"/>
  <c r="AB469" i="1"/>
  <c r="AA469" i="1"/>
  <c r="X469" i="1"/>
  <c r="W469" i="1"/>
  <c r="R469" i="1"/>
  <c r="S469" i="1" s="1"/>
  <c r="T469" i="1" s="1"/>
  <c r="N469" i="1"/>
  <c r="O469" i="1" s="1"/>
  <c r="M469" i="1"/>
  <c r="I469" i="1"/>
  <c r="G469" i="1"/>
  <c r="AE468" i="1"/>
  <c r="AF468" i="1" s="1"/>
  <c r="AB468" i="1"/>
  <c r="AA468" i="1"/>
  <c r="R468" i="1"/>
  <c r="S468" i="1" s="1"/>
  <c r="T468" i="1" s="1"/>
  <c r="M468" i="1"/>
  <c r="N468" i="1" s="1"/>
  <c r="O468" i="1" s="1"/>
  <c r="I468" i="1"/>
  <c r="G468" i="1"/>
  <c r="I467" i="1"/>
  <c r="G467" i="1"/>
  <c r="I466" i="1"/>
  <c r="G466" i="1"/>
  <c r="M465" i="1"/>
  <c r="N465" i="1" s="1"/>
  <c r="O465" i="1" s="1"/>
  <c r="G465" i="1"/>
  <c r="I465" i="1" s="1"/>
  <c r="AE464" i="1"/>
  <c r="AF464" i="1" s="1"/>
  <c r="AB464" i="1"/>
  <c r="AA464" i="1"/>
  <c r="W464" i="1"/>
  <c r="X464" i="1" s="1"/>
  <c r="G464" i="1"/>
  <c r="I464" i="1" s="1"/>
  <c r="N463" i="1"/>
  <c r="O463" i="1" s="1"/>
  <c r="M463" i="1"/>
  <c r="G463" i="1"/>
  <c r="I463" i="1" s="1"/>
  <c r="AE462" i="1"/>
  <c r="AF462" i="1" s="1"/>
  <c r="AB462" i="1"/>
  <c r="AA462" i="1"/>
  <c r="X462" i="1"/>
  <c r="W462" i="1"/>
  <c r="G462" i="1"/>
  <c r="I462" i="1" s="1"/>
  <c r="AI461" i="1"/>
  <c r="AJ461" i="1" s="1"/>
  <c r="AF461" i="1"/>
  <c r="AE461" i="1"/>
  <c r="AB461" i="1"/>
  <c r="AA461" i="1"/>
  <c r="W461" i="1"/>
  <c r="X461" i="1" s="1"/>
  <c r="I461" i="1"/>
  <c r="G461" i="1"/>
  <c r="AB460" i="1"/>
  <c r="AA460" i="1"/>
  <c r="X460" i="1"/>
  <c r="W460" i="1"/>
  <c r="R460" i="1"/>
  <c r="S460" i="1" s="1"/>
  <c r="T460" i="1" s="1"/>
  <c r="N460" i="1"/>
  <c r="O460" i="1" s="1"/>
  <c r="M460" i="1"/>
  <c r="I460" i="1"/>
  <c r="G460" i="1"/>
  <c r="R459" i="1"/>
  <c r="S459" i="1" s="1"/>
  <c r="T459" i="1" s="1"/>
  <c r="N459" i="1"/>
  <c r="O459" i="1" s="1"/>
  <c r="M459" i="1"/>
  <c r="I459" i="1"/>
  <c r="G459" i="1"/>
  <c r="M458" i="1"/>
  <c r="N458" i="1" s="1"/>
  <c r="O458" i="1" s="1"/>
  <c r="I458" i="1"/>
  <c r="G458" i="1"/>
  <c r="N457" i="1"/>
  <c r="O457" i="1" s="1"/>
  <c r="M457" i="1"/>
  <c r="G457" i="1"/>
  <c r="I457" i="1" s="1"/>
  <c r="M456" i="1"/>
  <c r="N456" i="1" s="1"/>
  <c r="O456" i="1" s="1"/>
  <c r="G456" i="1"/>
  <c r="I456" i="1" s="1"/>
  <c r="AJ455" i="1"/>
  <c r="AI455" i="1"/>
  <c r="AE455" i="1"/>
  <c r="AF455" i="1" s="1"/>
  <c r="W455" i="1"/>
  <c r="X455" i="1" s="1"/>
  <c r="S455" i="1"/>
  <c r="T455" i="1" s="1"/>
  <c r="R455" i="1"/>
  <c r="G455" i="1"/>
  <c r="I455" i="1" s="1"/>
  <c r="AF454" i="1"/>
  <c r="AE454" i="1"/>
  <c r="AB454" i="1"/>
  <c r="AA454" i="1"/>
  <c r="X454" i="1"/>
  <c r="W454" i="1"/>
  <c r="R454" i="1"/>
  <c r="S454" i="1" s="1"/>
  <c r="T454" i="1" s="1"/>
  <c r="I454" i="1"/>
  <c r="G454" i="1"/>
  <c r="AI453" i="1"/>
  <c r="AJ453" i="1" s="1"/>
  <c r="I453" i="1"/>
  <c r="G453" i="1"/>
  <c r="AI452" i="1"/>
  <c r="AJ452" i="1" s="1"/>
  <c r="AE452" i="1"/>
  <c r="AF452" i="1" s="1"/>
  <c r="AA452" i="1"/>
  <c r="AB452" i="1" s="1"/>
  <c r="I452" i="1"/>
  <c r="G452" i="1"/>
  <c r="G451" i="1"/>
  <c r="I451" i="1" s="1"/>
  <c r="S450" i="1"/>
  <c r="T450" i="1" s="1"/>
  <c r="R450" i="1"/>
  <c r="I450" i="1"/>
  <c r="G450" i="1"/>
  <c r="G449" i="1"/>
  <c r="I449" i="1" s="1"/>
  <c r="AI448" i="1"/>
  <c r="AJ448" i="1" s="1"/>
  <c r="AF448" i="1"/>
  <c r="AE448" i="1"/>
  <c r="AB448" i="1"/>
  <c r="AA448" i="1"/>
  <c r="W448" i="1"/>
  <c r="X448" i="1" s="1"/>
  <c r="M448" i="1"/>
  <c r="N448" i="1" s="1"/>
  <c r="O448" i="1" s="1"/>
  <c r="G448" i="1"/>
  <c r="I448" i="1" s="1"/>
  <c r="I447" i="1"/>
  <c r="G447" i="1"/>
  <c r="R446" i="1"/>
  <c r="S446" i="1" s="1"/>
  <c r="T446" i="1" s="1"/>
  <c r="O446" i="1"/>
  <c r="M446" i="1"/>
  <c r="N446" i="1" s="1"/>
  <c r="I446" i="1"/>
  <c r="G446" i="1"/>
  <c r="AI445" i="1"/>
  <c r="AJ445" i="1" s="1"/>
  <c r="AE445" i="1"/>
  <c r="AF445" i="1" s="1"/>
  <c r="AA445" i="1"/>
  <c r="AB445" i="1" s="1"/>
  <c r="X445" i="1"/>
  <c r="W445" i="1"/>
  <c r="G445" i="1"/>
  <c r="I445" i="1" s="1"/>
  <c r="AI444" i="1"/>
  <c r="AJ444" i="1" s="1"/>
  <c r="AE444" i="1"/>
  <c r="AF444" i="1" s="1"/>
  <c r="AB444" i="1"/>
  <c r="AA444" i="1"/>
  <c r="W444" i="1"/>
  <c r="X444" i="1" s="1"/>
  <c r="S444" i="1"/>
  <c r="T444" i="1" s="1"/>
  <c r="R444" i="1"/>
  <c r="O444" i="1"/>
  <c r="N444" i="1"/>
  <c r="M444" i="1"/>
  <c r="G444" i="1"/>
  <c r="I444" i="1" s="1"/>
  <c r="AJ443" i="1"/>
  <c r="AI443" i="1"/>
  <c r="AE443" i="1"/>
  <c r="AF443" i="1" s="1"/>
  <c r="AB443" i="1"/>
  <c r="AA443" i="1"/>
  <c r="G443" i="1"/>
  <c r="I443" i="1" s="1"/>
  <c r="N442" i="1"/>
  <c r="O442" i="1" s="1"/>
  <c r="M442" i="1"/>
  <c r="I442" i="1"/>
  <c r="G442" i="1"/>
  <c r="G441" i="1"/>
  <c r="I441" i="1" s="1"/>
  <c r="M440" i="1"/>
  <c r="N440" i="1" s="1"/>
  <c r="O440" i="1" s="1"/>
  <c r="G440" i="1"/>
  <c r="I440" i="1" s="1"/>
  <c r="R439" i="1"/>
  <c r="S439" i="1" s="1"/>
  <c r="T439" i="1" s="1"/>
  <c r="G439" i="1"/>
  <c r="I439" i="1" s="1"/>
  <c r="AJ438" i="1"/>
  <c r="AI438" i="1"/>
  <c r="AF438" i="1"/>
  <c r="AE438" i="1"/>
  <c r="AA438" i="1"/>
  <c r="AB438" i="1" s="1"/>
  <c r="I438" i="1"/>
  <c r="G438" i="1"/>
  <c r="AJ437" i="1"/>
  <c r="AI437" i="1"/>
  <c r="AF437" i="1"/>
  <c r="AE437" i="1"/>
  <c r="G437" i="1"/>
  <c r="I437" i="1" s="1"/>
  <c r="T436" i="1"/>
  <c r="S436" i="1"/>
  <c r="R436" i="1"/>
  <c r="G436" i="1"/>
  <c r="I436" i="1" s="1"/>
  <c r="R435" i="1"/>
  <c r="S435" i="1" s="1"/>
  <c r="T435" i="1" s="1"/>
  <c r="G435" i="1"/>
  <c r="I435" i="1" s="1"/>
  <c r="R434" i="1"/>
  <c r="S434" i="1" s="1"/>
  <c r="T434" i="1" s="1"/>
  <c r="I434" i="1"/>
  <c r="G434" i="1"/>
  <c r="AI433" i="1"/>
  <c r="AJ433" i="1" s="1"/>
  <c r="AE433" i="1"/>
  <c r="AF433" i="1" s="1"/>
  <c r="AA433" i="1"/>
  <c r="AB433" i="1" s="1"/>
  <c r="X433" i="1"/>
  <c r="W433" i="1"/>
  <c r="N433" i="1"/>
  <c r="O433" i="1" s="1"/>
  <c r="M433" i="1"/>
  <c r="I433" i="1"/>
  <c r="G433" i="1"/>
  <c r="AB432" i="1"/>
  <c r="AA432" i="1"/>
  <c r="W432" i="1"/>
  <c r="X432" i="1" s="1"/>
  <c r="T432" i="1"/>
  <c r="S432" i="1"/>
  <c r="R432" i="1"/>
  <c r="N432" i="1"/>
  <c r="O432" i="1" s="1"/>
  <c r="M432" i="1"/>
  <c r="G432" i="1"/>
  <c r="I432" i="1" s="1"/>
  <c r="M431" i="1"/>
  <c r="N431" i="1" s="1"/>
  <c r="O431" i="1" s="1"/>
  <c r="G431" i="1"/>
  <c r="I431" i="1" s="1"/>
  <c r="I430" i="1"/>
  <c r="G430" i="1"/>
  <c r="G429" i="1"/>
  <c r="I429" i="1" s="1"/>
  <c r="X428" i="1"/>
  <c r="W428" i="1"/>
  <c r="S428" i="1"/>
  <c r="T428" i="1" s="1"/>
  <c r="R428" i="1"/>
  <c r="G428" i="1"/>
  <c r="I428" i="1" s="1"/>
  <c r="N427" i="1"/>
  <c r="O427" i="1" s="1"/>
  <c r="M427" i="1"/>
  <c r="G427" i="1"/>
  <c r="I427" i="1" s="1"/>
  <c r="M426" i="1"/>
  <c r="N426" i="1" s="1"/>
  <c r="O426" i="1" s="1"/>
  <c r="G426" i="1"/>
  <c r="I426" i="1" s="1"/>
  <c r="O425" i="1"/>
  <c r="M425" i="1"/>
  <c r="N425" i="1" s="1"/>
  <c r="I425" i="1"/>
  <c r="G425" i="1"/>
  <c r="W424" i="1"/>
  <c r="X424" i="1" s="1"/>
  <c r="S424" i="1"/>
  <c r="T424" i="1" s="1"/>
  <c r="R424" i="1"/>
  <c r="I424" i="1"/>
  <c r="G424" i="1"/>
  <c r="AE423" i="1"/>
  <c r="AF423" i="1" s="1"/>
  <c r="W423" i="1"/>
  <c r="X423" i="1" s="1"/>
  <c r="R423" i="1"/>
  <c r="S423" i="1" s="1"/>
  <c r="T423" i="1" s="1"/>
  <c r="M423" i="1"/>
  <c r="N423" i="1" s="1"/>
  <c r="O423" i="1" s="1"/>
  <c r="I423" i="1"/>
  <c r="G423" i="1"/>
  <c r="AB422" i="1"/>
  <c r="AA422" i="1"/>
  <c r="X422" i="1"/>
  <c r="W422" i="1"/>
  <c r="R422" i="1"/>
  <c r="S422" i="1" s="1"/>
  <c r="T422" i="1" s="1"/>
  <c r="I422" i="1"/>
  <c r="G422" i="1"/>
  <c r="AI421" i="1"/>
  <c r="AJ421" i="1" s="1"/>
  <c r="AF421" i="1"/>
  <c r="AE421" i="1"/>
  <c r="AA421" i="1"/>
  <c r="AB421" i="1" s="1"/>
  <c r="W421" i="1"/>
  <c r="X421" i="1" s="1"/>
  <c r="G421" i="1"/>
  <c r="I421" i="1" s="1"/>
  <c r="AJ420" i="1"/>
  <c r="AI420" i="1"/>
  <c r="AE420" i="1"/>
  <c r="AF420" i="1" s="1"/>
  <c r="AA420" i="1"/>
  <c r="AB420" i="1" s="1"/>
  <c r="G420" i="1"/>
  <c r="I420" i="1" s="1"/>
  <c r="M419" i="1"/>
  <c r="N419" i="1" s="1"/>
  <c r="O419" i="1" s="1"/>
  <c r="I419" i="1"/>
  <c r="G419" i="1"/>
  <c r="M418" i="1"/>
  <c r="N418" i="1" s="1"/>
  <c r="O418" i="1" s="1"/>
  <c r="I418" i="1"/>
  <c r="G418" i="1"/>
  <c r="R417" i="1"/>
  <c r="S417" i="1" s="1"/>
  <c r="T417" i="1" s="1"/>
  <c r="O417" i="1"/>
  <c r="M417" i="1"/>
  <c r="N417" i="1" s="1"/>
  <c r="I417" i="1"/>
  <c r="G417" i="1"/>
  <c r="AI416" i="1"/>
  <c r="AJ416" i="1" s="1"/>
  <c r="AE416" i="1"/>
  <c r="AF416" i="1" s="1"/>
  <c r="AA416" i="1"/>
  <c r="AB416" i="1" s="1"/>
  <c r="I416" i="1"/>
  <c r="G416" i="1"/>
  <c r="AI415" i="1"/>
  <c r="AJ415" i="1" s="1"/>
  <c r="AF415" i="1"/>
  <c r="AE415" i="1"/>
  <c r="AA415" i="1"/>
  <c r="AB415" i="1" s="1"/>
  <c r="I415" i="1"/>
  <c r="G415" i="1"/>
  <c r="AI414" i="1"/>
  <c r="AJ414" i="1" s="1"/>
  <c r="I414" i="1"/>
  <c r="G414" i="1"/>
  <c r="N413" i="1"/>
  <c r="O413" i="1" s="1"/>
  <c r="M413" i="1"/>
  <c r="G413" i="1"/>
  <c r="I413" i="1" s="1"/>
  <c r="AA412" i="1"/>
  <c r="AB412" i="1" s="1"/>
  <c r="X412" i="1"/>
  <c r="W412" i="1"/>
  <c r="I412" i="1"/>
  <c r="G412" i="1"/>
  <c r="G411" i="1"/>
  <c r="I411" i="1" s="1"/>
  <c r="AJ410" i="1"/>
  <c r="AI410" i="1"/>
  <c r="I410" i="1"/>
  <c r="G410" i="1"/>
  <c r="O409" i="1"/>
  <c r="N409" i="1"/>
  <c r="M409" i="1"/>
  <c r="G409" i="1"/>
  <c r="I409" i="1" s="1"/>
  <c r="O408" i="1"/>
  <c r="N408" i="1"/>
  <c r="M408" i="1"/>
  <c r="I408" i="1"/>
  <c r="G408" i="1"/>
  <c r="M407" i="1"/>
  <c r="N407" i="1" s="1"/>
  <c r="O407" i="1" s="1"/>
  <c r="I407" i="1"/>
  <c r="G407" i="1"/>
  <c r="S406" i="1"/>
  <c r="T406" i="1" s="1"/>
  <c r="R406" i="1"/>
  <c r="G406" i="1"/>
  <c r="I406" i="1" s="1"/>
  <c r="O405" i="1"/>
  <c r="N405" i="1"/>
  <c r="M405" i="1"/>
  <c r="G405" i="1"/>
  <c r="I405" i="1" s="1"/>
  <c r="M404" i="1"/>
  <c r="N404" i="1" s="1"/>
  <c r="O404" i="1" s="1"/>
  <c r="I404" i="1"/>
  <c r="G404" i="1"/>
  <c r="M403" i="1"/>
  <c r="N403" i="1" s="1"/>
  <c r="O403" i="1" s="1"/>
  <c r="I403" i="1"/>
  <c r="G403" i="1"/>
  <c r="N402" i="1"/>
  <c r="O402" i="1" s="1"/>
  <c r="M402" i="1"/>
  <c r="I402" i="1"/>
  <c r="G402" i="1"/>
  <c r="O401" i="1"/>
  <c r="N401" i="1"/>
  <c r="M401" i="1"/>
  <c r="G401" i="1"/>
  <c r="I401" i="1" s="1"/>
  <c r="T400" i="1"/>
  <c r="S400" i="1"/>
  <c r="R400" i="1"/>
  <c r="I400" i="1"/>
  <c r="G400" i="1"/>
  <c r="AI399" i="1"/>
  <c r="AJ399" i="1" s="1"/>
  <c r="AF399" i="1"/>
  <c r="AE399" i="1"/>
  <c r="AB399" i="1"/>
  <c r="AA399" i="1"/>
  <c r="T399" i="1"/>
  <c r="S399" i="1"/>
  <c r="R399" i="1"/>
  <c r="N399" i="1"/>
  <c r="O399" i="1" s="1"/>
  <c r="M399" i="1"/>
  <c r="I399" i="1"/>
  <c r="G399" i="1"/>
  <c r="O398" i="1"/>
  <c r="N398" i="1"/>
  <c r="M398" i="1"/>
  <c r="G398" i="1"/>
  <c r="I398" i="1" s="1"/>
  <c r="I397" i="1"/>
  <c r="G397" i="1"/>
  <c r="N396" i="1"/>
  <c r="O396" i="1" s="1"/>
  <c r="M396" i="1"/>
  <c r="G396" i="1"/>
  <c r="I396" i="1" s="1"/>
  <c r="AJ395" i="1"/>
  <c r="AI395" i="1"/>
  <c r="AF395" i="1"/>
  <c r="AE395" i="1"/>
  <c r="AB395" i="1"/>
  <c r="AA395" i="1"/>
  <c r="W395" i="1"/>
  <c r="X395" i="1" s="1"/>
  <c r="R395" i="1"/>
  <c r="S395" i="1" s="1"/>
  <c r="T395" i="1" s="1"/>
  <c r="G395" i="1"/>
  <c r="I395" i="1" s="1"/>
  <c r="AF394" i="1"/>
  <c r="AE394" i="1"/>
  <c r="G394" i="1"/>
  <c r="I394" i="1" s="1"/>
  <c r="I393" i="1"/>
  <c r="G393" i="1"/>
  <c r="AE392" i="1"/>
  <c r="AF392" i="1" s="1"/>
  <c r="I392" i="1"/>
  <c r="G392" i="1"/>
  <c r="AA391" i="1"/>
  <c r="AB391" i="1" s="1"/>
  <c r="I391" i="1"/>
  <c r="G391" i="1"/>
  <c r="N390" i="1"/>
  <c r="O390" i="1" s="1"/>
  <c r="M390" i="1"/>
  <c r="G390" i="1"/>
  <c r="I390" i="1" s="1"/>
  <c r="G389" i="1"/>
  <c r="I389" i="1" s="1"/>
  <c r="X388" i="1"/>
  <c r="W388" i="1"/>
  <c r="O388" i="1"/>
  <c r="N388" i="1"/>
  <c r="M388" i="1"/>
  <c r="G388" i="1"/>
  <c r="I388" i="1" s="1"/>
  <c r="S387" i="1"/>
  <c r="T387" i="1" s="1"/>
  <c r="R387" i="1"/>
  <c r="I387" i="1"/>
  <c r="G387" i="1"/>
  <c r="AE386" i="1"/>
  <c r="AF386" i="1" s="1"/>
  <c r="AA386" i="1"/>
  <c r="AB386" i="1" s="1"/>
  <c r="X386" i="1"/>
  <c r="W386" i="1"/>
  <c r="T386" i="1"/>
  <c r="S386" i="1"/>
  <c r="R386" i="1"/>
  <c r="N386" i="1"/>
  <c r="O386" i="1" s="1"/>
  <c r="M386" i="1"/>
  <c r="I386" i="1"/>
  <c r="G386" i="1"/>
  <c r="O385" i="1"/>
  <c r="N385" i="1"/>
  <c r="M385" i="1"/>
  <c r="G385" i="1"/>
  <c r="I385" i="1" s="1"/>
  <c r="AB384" i="1"/>
  <c r="AA384" i="1"/>
  <c r="W384" i="1"/>
  <c r="X384" i="1" s="1"/>
  <c r="R384" i="1"/>
  <c r="S384" i="1" s="1"/>
  <c r="T384" i="1" s="1"/>
  <c r="G384" i="1"/>
  <c r="I384" i="1" s="1"/>
  <c r="AF383" i="1"/>
  <c r="AE383" i="1"/>
  <c r="AB383" i="1"/>
  <c r="AA383" i="1"/>
  <c r="W383" i="1"/>
  <c r="X383" i="1" s="1"/>
  <c r="G383" i="1"/>
  <c r="I383" i="1" s="1"/>
  <c r="AJ382" i="1"/>
  <c r="AI382" i="1"/>
  <c r="O382" i="1"/>
  <c r="N382" i="1"/>
  <c r="M382" i="1"/>
  <c r="G382" i="1"/>
  <c r="I382" i="1" s="1"/>
  <c r="G381" i="1"/>
  <c r="I381" i="1" s="1"/>
  <c r="N380" i="1"/>
  <c r="O380" i="1" s="1"/>
  <c r="M380" i="1"/>
  <c r="G380" i="1"/>
  <c r="I380" i="1" s="1"/>
  <c r="O379" i="1"/>
  <c r="M379" i="1"/>
  <c r="N379" i="1" s="1"/>
  <c r="G379" i="1"/>
  <c r="I379" i="1" s="1"/>
  <c r="R378" i="1"/>
  <c r="S378" i="1" s="1"/>
  <c r="T378" i="1" s="1"/>
  <c r="I378" i="1"/>
  <c r="G378" i="1"/>
  <c r="M377" i="1"/>
  <c r="N377" i="1" s="1"/>
  <c r="O377" i="1" s="1"/>
  <c r="I377" i="1"/>
  <c r="G377" i="1"/>
  <c r="M376" i="1"/>
  <c r="N376" i="1" s="1"/>
  <c r="O376" i="1" s="1"/>
  <c r="I376" i="1"/>
  <c r="G376" i="1"/>
  <c r="O375" i="1"/>
  <c r="N375" i="1"/>
  <c r="M375" i="1"/>
  <c r="G375" i="1"/>
  <c r="I375" i="1" s="1"/>
  <c r="AI374" i="1"/>
  <c r="AJ374" i="1" s="1"/>
  <c r="AE374" i="1"/>
  <c r="AF374" i="1" s="1"/>
  <c r="AB374" i="1"/>
  <c r="AA374" i="1"/>
  <c r="W374" i="1"/>
  <c r="X374" i="1" s="1"/>
  <c r="S374" i="1"/>
  <c r="T374" i="1" s="1"/>
  <c r="R374" i="1"/>
  <c r="I374" i="1"/>
  <c r="G374" i="1"/>
  <c r="AI373" i="1"/>
  <c r="AJ373" i="1" s="1"/>
  <c r="AE373" i="1"/>
  <c r="AF373" i="1" s="1"/>
  <c r="AB373" i="1"/>
  <c r="AA373" i="1"/>
  <c r="X373" i="1"/>
  <c r="W373" i="1"/>
  <c r="R373" i="1"/>
  <c r="S373" i="1" s="1"/>
  <c r="T373" i="1" s="1"/>
  <c r="I373" i="1"/>
  <c r="G373" i="1"/>
  <c r="N372" i="1"/>
  <c r="O372" i="1" s="1"/>
  <c r="M372" i="1"/>
  <c r="G372" i="1"/>
  <c r="I372" i="1" s="1"/>
  <c r="M371" i="1"/>
  <c r="N371" i="1" s="1"/>
  <c r="O371" i="1" s="1"/>
  <c r="G371" i="1"/>
  <c r="I371" i="1" s="1"/>
  <c r="M370" i="1"/>
  <c r="N370" i="1" s="1"/>
  <c r="O370" i="1" s="1"/>
  <c r="I370" i="1"/>
  <c r="G370" i="1"/>
  <c r="AJ369" i="1"/>
  <c r="AI369" i="1"/>
  <c r="AF369" i="1"/>
  <c r="AE369" i="1"/>
  <c r="AA369" i="1"/>
  <c r="AB369" i="1" s="1"/>
  <c r="G369" i="1"/>
  <c r="I369" i="1" s="1"/>
  <c r="AJ368" i="1"/>
  <c r="AI368" i="1"/>
  <c r="AF368" i="1"/>
  <c r="AE368" i="1"/>
  <c r="AA368" i="1"/>
  <c r="AB368" i="1" s="1"/>
  <c r="I368" i="1"/>
  <c r="G368" i="1"/>
  <c r="O367" i="1"/>
  <c r="M367" i="1"/>
  <c r="N367" i="1" s="1"/>
  <c r="I367" i="1"/>
  <c r="G367" i="1"/>
  <c r="AI366" i="1"/>
  <c r="AJ366" i="1" s="1"/>
  <c r="AF366" i="1"/>
  <c r="AE366" i="1"/>
  <c r="G366" i="1"/>
  <c r="I366" i="1" s="1"/>
  <c r="AJ365" i="1"/>
  <c r="AI365" i="1"/>
  <c r="AE365" i="1"/>
  <c r="AF365" i="1" s="1"/>
  <c r="G365" i="1"/>
  <c r="I365" i="1" s="1"/>
  <c r="G364" i="1"/>
  <c r="I364" i="1" s="1"/>
  <c r="I363" i="1"/>
  <c r="G363" i="1"/>
  <c r="N362" i="1"/>
  <c r="O362" i="1" s="1"/>
  <c r="M362" i="1"/>
  <c r="I362" i="1"/>
  <c r="G362" i="1"/>
  <c r="AJ361" i="1"/>
  <c r="AI361" i="1"/>
  <c r="AE361" i="1"/>
  <c r="AF361" i="1" s="1"/>
  <c r="AA361" i="1"/>
  <c r="AB361" i="1" s="1"/>
  <c r="X361" i="1"/>
  <c r="W361" i="1"/>
  <c r="T361" i="1"/>
  <c r="S361" i="1"/>
  <c r="R361" i="1"/>
  <c r="G361" i="1"/>
  <c r="I361" i="1" s="1"/>
  <c r="G360" i="1"/>
  <c r="I360" i="1" s="1"/>
  <c r="G359" i="1"/>
  <c r="I359" i="1" s="1"/>
  <c r="AF358" i="1"/>
  <c r="AE358" i="1"/>
  <c r="G358" i="1"/>
  <c r="I358" i="1" s="1"/>
  <c r="AB357" i="1"/>
  <c r="AA357" i="1"/>
  <c r="W357" i="1"/>
  <c r="X357" i="1" s="1"/>
  <c r="I357" i="1"/>
  <c r="G357" i="1"/>
  <c r="W356" i="1"/>
  <c r="X356" i="1" s="1"/>
  <c r="G356" i="1"/>
  <c r="I356" i="1" s="1"/>
  <c r="N355" i="1"/>
  <c r="O355" i="1" s="1"/>
  <c r="M355" i="1"/>
  <c r="G355" i="1"/>
  <c r="I355" i="1" s="1"/>
  <c r="I354" i="1"/>
  <c r="G354" i="1"/>
  <c r="M353" i="1"/>
  <c r="N353" i="1" s="1"/>
  <c r="O353" i="1" s="1"/>
  <c r="I353" i="1"/>
  <c r="G353" i="1"/>
  <c r="AI352" i="1"/>
  <c r="AJ352" i="1" s="1"/>
  <c r="AE352" i="1"/>
  <c r="AF352" i="1" s="1"/>
  <c r="AA352" i="1"/>
  <c r="AB352" i="1" s="1"/>
  <c r="X352" i="1"/>
  <c r="W352" i="1"/>
  <c r="R352" i="1"/>
  <c r="S352" i="1" s="1"/>
  <c r="T352" i="1" s="1"/>
  <c r="I352" i="1"/>
  <c r="G352" i="1"/>
  <c r="I351" i="1"/>
  <c r="G351" i="1"/>
  <c r="M350" i="1"/>
  <c r="N350" i="1" s="1"/>
  <c r="O350" i="1" s="1"/>
  <c r="G350" i="1"/>
  <c r="I350" i="1" s="1"/>
  <c r="AE349" i="1"/>
  <c r="AF349" i="1" s="1"/>
  <c r="M349" i="1"/>
  <c r="N349" i="1" s="1"/>
  <c r="O349" i="1" s="1"/>
  <c r="G349" i="1"/>
  <c r="I349" i="1" s="1"/>
  <c r="AB348" i="1"/>
  <c r="AA348" i="1"/>
  <c r="X348" i="1"/>
  <c r="W348" i="1"/>
  <c r="R348" i="1"/>
  <c r="S348" i="1" s="1"/>
  <c r="T348" i="1" s="1"/>
  <c r="I348" i="1"/>
  <c r="G348" i="1"/>
  <c r="W347" i="1"/>
  <c r="X347" i="1" s="1"/>
  <c r="R347" i="1"/>
  <c r="S347" i="1" s="1"/>
  <c r="T347" i="1" s="1"/>
  <c r="I347" i="1"/>
  <c r="G347" i="1"/>
  <c r="AB346" i="1"/>
  <c r="AA346" i="1"/>
  <c r="I346" i="1"/>
  <c r="G346" i="1"/>
  <c r="M345" i="1"/>
  <c r="N345" i="1" s="1"/>
  <c r="O345" i="1" s="1"/>
  <c r="G345" i="1"/>
  <c r="I345" i="1" s="1"/>
  <c r="G344" i="1"/>
  <c r="I344" i="1" s="1"/>
  <c r="AF343" i="1"/>
  <c r="AE343" i="1"/>
  <c r="G343" i="1"/>
  <c r="I343" i="1" s="1"/>
  <c r="N342" i="1"/>
  <c r="O342" i="1" s="1"/>
  <c r="M342" i="1"/>
  <c r="I342" i="1"/>
  <c r="G342" i="1"/>
  <c r="AI341" i="1"/>
  <c r="AJ341" i="1" s="1"/>
  <c r="O341" i="1"/>
  <c r="N341" i="1"/>
  <c r="M341" i="1"/>
  <c r="G341" i="1"/>
  <c r="I341" i="1" s="1"/>
  <c r="X340" i="1"/>
  <c r="W340" i="1"/>
  <c r="R340" i="1"/>
  <c r="S340" i="1" s="1"/>
  <c r="T340" i="1" s="1"/>
  <c r="O340" i="1"/>
  <c r="M340" i="1"/>
  <c r="N340" i="1" s="1"/>
  <c r="I340" i="1"/>
  <c r="G340" i="1"/>
  <c r="AE339" i="1"/>
  <c r="AF339" i="1" s="1"/>
  <c r="AB339" i="1"/>
  <c r="AA339" i="1"/>
  <c r="W339" i="1"/>
  <c r="X339" i="1" s="1"/>
  <c r="R339" i="1"/>
  <c r="S339" i="1" s="1"/>
  <c r="T339" i="1" s="1"/>
  <c r="I339" i="1"/>
  <c r="G339" i="1"/>
  <c r="AJ338" i="1"/>
  <c r="AI338" i="1"/>
  <c r="AF338" i="1"/>
  <c r="AE338" i="1"/>
  <c r="G338" i="1"/>
  <c r="I338" i="1" s="1"/>
  <c r="AB337" i="1"/>
  <c r="AA337" i="1"/>
  <c r="X337" i="1"/>
  <c r="W337" i="1"/>
  <c r="T337" i="1"/>
  <c r="S337" i="1"/>
  <c r="R337" i="1"/>
  <c r="M337" i="1"/>
  <c r="N337" i="1" s="1"/>
  <c r="O337" i="1" s="1"/>
  <c r="I337" i="1"/>
  <c r="G337" i="1"/>
  <c r="I336" i="1"/>
  <c r="G336" i="1"/>
  <c r="AE335" i="1"/>
  <c r="AF335" i="1" s="1"/>
  <c r="G335" i="1"/>
  <c r="I335" i="1" s="1"/>
  <c r="I334" i="1"/>
  <c r="G334" i="1"/>
  <c r="AJ333" i="1"/>
  <c r="AI333" i="1"/>
  <c r="G333" i="1"/>
  <c r="I333" i="1" s="1"/>
  <c r="AI332" i="1"/>
  <c r="AJ332" i="1" s="1"/>
  <c r="R332" i="1"/>
  <c r="S332" i="1" s="1"/>
  <c r="T332" i="1" s="1"/>
  <c r="M332" i="1"/>
  <c r="N332" i="1" s="1"/>
  <c r="O332" i="1" s="1"/>
  <c r="G332" i="1"/>
  <c r="I332" i="1" s="1"/>
  <c r="I331" i="1"/>
  <c r="G331" i="1"/>
  <c r="O330" i="1"/>
  <c r="N330" i="1"/>
  <c r="M330" i="1"/>
  <c r="G330" i="1"/>
  <c r="I330" i="1" s="1"/>
  <c r="S329" i="1"/>
  <c r="T329" i="1" s="1"/>
  <c r="R329" i="1"/>
  <c r="O329" i="1"/>
  <c r="N329" i="1"/>
  <c r="M329" i="1"/>
  <c r="G329" i="1"/>
  <c r="I329" i="1" s="1"/>
  <c r="AJ328" i="1"/>
  <c r="AI328" i="1"/>
  <c r="N328" i="1"/>
  <c r="O328" i="1" s="1"/>
  <c r="M328" i="1"/>
  <c r="G328" i="1"/>
  <c r="I328" i="1" s="1"/>
  <c r="AI327" i="1"/>
  <c r="AJ327" i="1" s="1"/>
  <c r="AF327" i="1"/>
  <c r="AE327" i="1"/>
  <c r="AB327" i="1"/>
  <c r="AA327" i="1"/>
  <c r="W327" i="1"/>
  <c r="X327" i="1" s="1"/>
  <c r="R327" i="1"/>
  <c r="S327" i="1" s="1"/>
  <c r="T327" i="1" s="1"/>
  <c r="N327" i="1"/>
  <c r="O327" i="1" s="1"/>
  <c r="M327" i="1"/>
  <c r="G327" i="1"/>
  <c r="I327" i="1" s="1"/>
  <c r="X326" i="1"/>
  <c r="W326" i="1"/>
  <c r="R326" i="1"/>
  <c r="S326" i="1" s="1"/>
  <c r="T326" i="1" s="1"/>
  <c r="M326" i="1"/>
  <c r="N326" i="1" s="1"/>
  <c r="O326" i="1" s="1"/>
  <c r="I326" i="1"/>
  <c r="G326" i="1"/>
  <c r="R325" i="1"/>
  <c r="S325" i="1" s="1"/>
  <c r="T325" i="1" s="1"/>
  <c r="M325" i="1"/>
  <c r="N325" i="1" s="1"/>
  <c r="O325" i="1" s="1"/>
  <c r="G325" i="1"/>
  <c r="I325" i="1" s="1"/>
  <c r="I324" i="1"/>
  <c r="G324" i="1"/>
  <c r="O323" i="1"/>
  <c r="N323" i="1"/>
  <c r="M323" i="1"/>
  <c r="G323" i="1"/>
  <c r="I323" i="1" s="1"/>
  <c r="AF322" i="1"/>
  <c r="AE322" i="1"/>
  <c r="AA322" i="1"/>
  <c r="AB322" i="1" s="1"/>
  <c r="X322" i="1"/>
  <c r="W322" i="1"/>
  <c r="G322" i="1"/>
  <c r="I322" i="1" s="1"/>
  <c r="T321" i="1"/>
  <c r="S321" i="1"/>
  <c r="R321" i="1"/>
  <c r="I321" i="1"/>
  <c r="G321" i="1"/>
  <c r="G320" i="1"/>
  <c r="I320" i="1" s="1"/>
  <c r="I319" i="1"/>
  <c r="G319" i="1"/>
  <c r="AF318" i="1"/>
  <c r="AE318" i="1"/>
  <c r="I318" i="1"/>
  <c r="G318" i="1"/>
  <c r="AA317" i="1"/>
  <c r="AB317" i="1" s="1"/>
  <c r="X317" i="1"/>
  <c r="W317" i="1"/>
  <c r="I317" i="1"/>
  <c r="G317" i="1"/>
  <c r="AJ316" i="1"/>
  <c r="AI316" i="1"/>
  <c r="AE316" i="1"/>
  <c r="AF316" i="1" s="1"/>
  <c r="G316" i="1"/>
  <c r="I316" i="1" s="1"/>
  <c r="I315" i="1"/>
  <c r="G315" i="1"/>
  <c r="I314" i="1"/>
  <c r="G314" i="1"/>
  <c r="M313" i="1"/>
  <c r="N313" i="1" s="1"/>
  <c r="O313" i="1" s="1"/>
  <c r="G313" i="1"/>
  <c r="I313" i="1" s="1"/>
  <c r="AI312" i="1"/>
  <c r="AJ312" i="1" s="1"/>
  <c r="AF312" i="1"/>
  <c r="AE312" i="1"/>
  <c r="AA312" i="1"/>
  <c r="AB312" i="1" s="1"/>
  <c r="G312" i="1"/>
  <c r="I312" i="1" s="1"/>
  <c r="AI311" i="1"/>
  <c r="AJ311" i="1" s="1"/>
  <c r="AF311" i="1"/>
  <c r="AE311" i="1"/>
  <c r="AA311" i="1"/>
  <c r="AB311" i="1" s="1"/>
  <c r="W311" i="1"/>
  <c r="X311" i="1" s="1"/>
  <c r="G311" i="1"/>
  <c r="I311" i="1" s="1"/>
  <c r="M310" i="1"/>
  <c r="N310" i="1" s="1"/>
  <c r="O310" i="1" s="1"/>
  <c r="G310" i="1"/>
  <c r="I310" i="1" s="1"/>
  <c r="I309" i="1"/>
  <c r="G309" i="1"/>
  <c r="O308" i="1"/>
  <c r="N308" i="1"/>
  <c r="M308" i="1"/>
  <c r="G308" i="1"/>
  <c r="I308" i="1" s="1"/>
  <c r="AE307" i="1"/>
  <c r="AF307" i="1" s="1"/>
  <c r="AA307" i="1"/>
  <c r="AB307" i="1" s="1"/>
  <c r="X307" i="1"/>
  <c r="W307" i="1"/>
  <c r="S307" i="1"/>
  <c r="T307" i="1" s="1"/>
  <c r="R307" i="1"/>
  <c r="I307" i="1"/>
  <c r="G307" i="1"/>
  <c r="AB306" i="1"/>
  <c r="AA306" i="1"/>
  <c r="G306" i="1"/>
  <c r="I306" i="1" s="1"/>
  <c r="G305" i="1"/>
  <c r="I305" i="1" s="1"/>
  <c r="AB304" i="1"/>
  <c r="AA304" i="1"/>
  <c r="I304" i="1"/>
  <c r="G304" i="1"/>
  <c r="W303" i="1"/>
  <c r="X303" i="1" s="1"/>
  <c r="I303" i="1"/>
  <c r="G303" i="1"/>
  <c r="O302" i="1"/>
  <c r="M302" i="1"/>
  <c r="N302" i="1" s="1"/>
  <c r="I302" i="1"/>
  <c r="G302" i="1"/>
  <c r="AI301" i="1"/>
  <c r="AJ301" i="1" s="1"/>
  <c r="AF301" i="1"/>
  <c r="AE301" i="1"/>
  <c r="AA301" i="1"/>
  <c r="AB301" i="1" s="1"/>
  <c r="X301" i="1"/>
  <c r="W301" i="1"/>
  <c r="N301" i="1"/>
  <c r="O301" i="1" s="1"/>
  <c r="M301" i="1"/>
  <c r="I301" i="1"/>
  <c r="G301" i="1"/>
  <c r="AJ300" i="1"/>
  <c r="AI300" i="1"/>
  <c r="AE300" i="1"/>
  <c r="AF300" i="1" s="1"/>
  <c r="AA300" i="1"/>
  <c r="AB300" i="1" s="1"/>
  <c r="X300" i="1"/>
  <c r="W300" i="1"/>
  <c r="I300" i="1"/>
  <c r="G300" i="1"/>
  <c r="AA299" i="1"/>
  <c r="AB299" i="1" s="1"/>
  <c r="X299" i="1"/>
  <c r="W299" i="1"/>
  <c r="T299" i="1"/>
  <c r="R299" i="1"/>
  <c r="S299" i="1" s="1"/>
  <c r="I299" i="1"/>
  <c r="G299" i="1"/>
  <c r="AI298" i="1"/>
  <c r="AJ298" i="1" s="1"/>
  <c r="AA298" i="1"/>
  <c r="AB298" i="1" s="1"/>
  <c r="W298" i="1"/>
  <c r="X298" i="1" s="1"/>
  <c r="R298" i="1"/>
  <c r="S298" i="1" s="1"/>
  <c r="T298" i="1" s="1"/>
  <c r="M298" i="1"/>
  <c r="N298" i="1" s="1"/>
  <c r="O298" i="1" s="1"/>
  <c r="G298" i="1"/>
  <c r="I298" i="1" s="1"/>
  <c r="AJ297" i="1"/>
  <c r="AI297" i="1"/>
  <c r="AE297" i="1"/>
  <c r="AF297" i="1" s="1"/>
  <c r="AB297" i="1"/>
  <c r="AA297" i="1"/>
  <c r="W297" i="1"/>
  <c r="X297" i="1" s="1"/>
  <c r="R297" i="1"/>
  <c r="S297" i="1" s="1"/>
  <c r="T297" i="1" s="1"/>
  <c r="M297" i="1"/>
  <c r="N297" i="1" s="1"/>
  <c r="O297" i="1" s="1"/>
  <c r="G297" i="1"/>
  <c r="I297" i="1" s="1"/>
  <c r="AJ296" i="1"/>
  <c r="AI296" i="1"/>
  <c r="AA296" i="1"/>
  <c r="AB296" i="1" s="1"/>
  <c r="I296" i="1"/>
  <c r="G296" i="1"/>
  <c r="N295" i="1"/>
  <c r="O295" i="1" s="1"/>
  <c r="M295" i="1"/>
  <c r="G295" i="1"/>
  <c r="I295" i="1" s="1"/>
  <c r="I294" i="1"/>
  <c r="G294" i="1"/>
  <c r="I293" i="1"/>
  <c r="G293" i="1"/>
  <c r="AF292" i="1"/>
  <c r="AE292" i="1"/>
  <c r="AA292" i="1"/>
  <c r="AB292" i="1" s="1"/>
  <c r="W292" i="1"/>
  <c r="X292" i="1" s="1"/>
  <c r="R292" i="1"/>
  <c r="S292" i="1" s="1"/>
  <c r="T292" i="1" s="1"/>
  <c r="I292" i="1"/>
  <c r="G292" i="1"/>
  <c r="AI291" i="1"/>
  <c r="AJ291" i="1" s="1"/>
  <c r="AF291" i="1"/>
  <c r="AE291" i="1"/>
  <c r="AA291" i="1"/>
  <c r="AB291" i="1" s="1"/>
  <c r="X291" i="1"/>
  <c r="W291" i="1"/>
  <c r="S291" i="1"/>
  <c r="T291" i="1" s="1"/>
  <c r="R291" i="1"/>
  <c r="M291" i="1"/>
  <c r="N291" i="1" s="1"/>
  <c r="O291" i="1" s="1"/>
  <c r="I291" i="1"/>
  <c r="G291" i="1"/>
  <c r="R290" i="1"/>
  <c r="S290" i="1" s="1"/>
  <c r="T290" i="1" s="1"/>
  <c r="I290" i="1"/>
  <c r="G290" i="1"/>
  <c r="T289" i="1"/>
  <c r="I289" i="1"/>
  <c r="G289" i="1"/>
  <c r="R288" i="1"/>
  <c r="S288" i="1" s="1"/>
  <c r="T288" i="1" s="1"/>
  <c r="I288" i="1"/>
  <c r="G288" i="1"/>
  <c r="O287" i="1"/>
  <c r="N287" i="1"/>
  <c r="M287" i="1"/>
  <c r="G287" i="1"/>
  <c r="I287" i="1" s="1"/>
  <c r="W286" i="1"/>
  <c r="X286" i="1" s="1"/>
  <c r="S286" i="1"/>
  <c r="T286" i="1" s="1"/>
  <c r="R286" i="1"/>
  <c r="M286" i="1"/>
  <c r="N286" i="1" s="1"/>
  <c r="O286" i="1" s="1"/>
  <c r="G286" i="1"/>
  <c r="I286" i="1" s="1"/>
  <c r="AI285" i="1"/>
  <c r="AJ285" i="1" s="1"/>
  <c r="I285" i="1"/>
  <c r="G285" i="1"/>
  <c r="W284" i="1"/>
  <c r="X284" i="1" s="1"/>
  <c r="T284" i="1"/>
  <c r="S284" i="1"/>
  <c r="R284" i="1"/>
  <c r="I284" i="1"/>
  <c r="G284" i="1"/>
  <c r="R283" i="1"/>
  <c r="S283" i="1" s="1"/>
  <c r="T283" i="1" s="1"/>
  <c r="G283" i="1"/>
  <c r="I283" i="1" s="1"/>
  <c r="G282" i="1"/>
  <c r="I282" i="1" s="1"/>
  <c r="R281" i="1"/>
  <c r="S281" i="1" s="1"/>
  <c r="T281" i="1" s="1"/>
  <c r="G281" i="1"/>
  <c r="I281" i="1" s="1"/>
  <c r="X280" i="1"/>
  <c r="W280" i="1"/>
  <c r="T280" i="1"/>
  <c r="S280" i="1"/>
  <c r="R280" i="1"/>
  <c r="N280" i="1"/>
  <c r="O280" i="1" s="1"/>
  <c r="M280" i="1"/>
  <c r="I280" i="1"/>
  <c r="G280" i="1"/>
  <c r="AJ279" i="1"/>
  <c r="AI279" i="1"/>
  <c r="AE279" i="1"/>
  <c r="AF279" i="1" s="1"/>
  <c r="AB279" i="1"/>
  <c r="AA279" i="1"/>
  <c r="I279" i="1"/>
  <c r="G279" i="1"/>
  <c r="AJ278" i="1"/>
  <c r="AI278" i="1"/>
  <c r="AE278" i="1"/>
  <c r="AF278" i="1" s="1"/>
  <c r="AA278" i="1"/>
  <c r="AB278" i="1" s="1"/>
  <c r="I278" i="1"/>
  <c r="G278" i="1"/>
  <c r="AF277" i="1"/>
  <c r="AE277" i="1"/>
  <c r="AA277" i="1"/>
  <c r="AB277" i="1" s="1"/>
  <c r="W277" i="1"/>
  <c r="X277" i="1" s="1"/>
  <c r="T277" i="1"/>
  <c r="R277" i="1"/>
  <c r="S277" i="1" s="1"/>
  <c r="I277" i="1"/>
  <c r="G277" i="1"/>
  <c r="R276" i="1"/>
  <c r="S276" i="1" s="1"/>
  <c r="T276" i="1" s="1"/>
  <c r="M276" i="1"/>
  <c r="N276" i="1" s="1"/>
  <c r="O276" i="1" s="1"/>
  <c r="I276" i="1"/>
  <c r="G276" i="1"/>
  <c r="AE275" i="1"/>
  <c r="AF275" i="1" s="1"/>
  <c r="AB275" i="1"/>
  <c r="AA275" i="1"/>
  <c r="G275" i="1"/>
  <c r="I275" i="1" s="1"/>
  <c r="AJ274" i="1"/>
  <c r="AI274" i="1"/>
  <c r="G274" i="1"/>
  <c r="I274" i="1" s="1"/>
  <c r="AJ273" i="1"/>
  <c r="AI273" i="1"/>
  <c r="AE273" i="1"/>
  <c r="AF273" i="1" s="1"/>
  <c r="AB273" i="1"/>
  <c r="AA273" i="1"/>
  <c r="G273" i="1"/>
  <c r="I273" i="1" s="1"/>
  <c r="AI272" i="1"/>
  <c r="AJ272" i="1" s="1"/>
  <c r="G272" i="1"/>
  <c r="I272" i="1" s="1"/>
  <c r="R271" i="1"/>
  <c r="S271" i="1" s="1"/>
  <c r="T271" i="1" s="1"/>
  <c r="O271" i="1"/>
  <c r="M271" i="1"/>
  <c r="N271" i="1" s="1"/>
  <c r="G271" i="1"/>
  <c r="I271" i="1" s="1"/>
  <c r="M270" i="1"/>
  <c r="N270" i="1" s="1"/>
  <c r="O270" i="1" s="1"/>
  <c r="I270" i="1"/>
  <c r="G270" i="1"/>
  <c r="T269" i="1"/>
  <c r="G269" i="1"/>
  <c r="I269" i="1" s="1"/>
  <c r="R268" i="1"/>
  <c r="S268" i="1" s="1"/>
  <c r="T268" i="1" s="1"/>
  <c r="G268" i="1"/>
  <c r="I268" i="1" s="1"/>
  <c r="AJ267" i="1"/>
  <c r="AI267" i="1"/>
  <c r="I267" i="1"/>
  <c r="G267" i="1"/>
  <c r="AE266" i="1"/>
  <c r="AF266" i="1" s="1"/>
  <c r="AA266" i="1"/>
  <c r="AB266" i="1" s="1"/>
  <c r="X266" i="1"/>
  <c r="W266" i="1"/>
  <c r="T266" i="1"/>
  <c r="S266" i="1"/>
  <c r="R266" i="1"/>
  <c r="N266" i="1"/>
  <c r="O266" i="1" s="1"/>
  <c r="M266" i="1"/>
  <c r="I266" i="1"/>
  <c r="G266" i="1"/>
  <c r="AJ265" i="1"/>
  <c r="AI265" i="1"/>
  <c r="AE265" i="1"/>
  <c r="AF265" i="1" s="1"/>
  <c r="AA265" i="1"/>
  <c r="AB265" i="1" s="1"/>
  <c r="I265" i="1"/>
  <c r="G265" i="1"/>
  <c r="AJ264" i="1"/>
  <c r="AI264" i="1"/>
  <c r="G264" i="1"/>
  <c r="I264" i="1" s="1"/>
  <c r="AJ263" i="1"/>
  <c r="AI263" i="1"/>
  <c r="AF263" i="1"/>
  <c r="AE263" i="1"/>
  <c r="AB263" i="1"/>
  <c r="AA263" i="1"/>
  <c r="W263" i="1"/>
  <c r="X263" i="1" s="1"/>
  <c r="T263" i="1"/>
  <c r="S263" i="1"/>
  <c r="R263" i="1"/>
  <c r="N263" i="1"/>
  <c r="O263" i="1" s="1"/>
  <c r="M263" i="1"/>
  <c r="G263" i="1"/>
  <c r="I263" i="1" s="1"/>
  <c r="AA262" i="1"/>
  <c r="AB262" i="1" s="1"/>
  <c r="I262" i="1"/>
  <c r="G262" i="1"/>
  <c r="I261" i="1"/>
  <c r="G261" i="1"/>
  <c r="R260" i="1"/>
  <c r="S260" i="1" s="1"/>
  <c r="T260" i="1" s="1"/>
  <c r="G260" i="1"/>
  <c r="I260" i="1" s="1"/>
  <c r="S259" i="1"/>
  <c r="T259" i="1" s="1"/>
  <c r="R259" i="1"/>
  <c r="G259" i="1"/>
  <c r="I259" i="1" s="1"/>
  <c r="N258" i="1"/>
  <c r="O258" i="1" s="1"/>
  <c r="M258" i="1"/>
  <c r="G258" i="1"/>
  <c r="I258" i="1" s="1"/>
  <c r="X257" i="1"/>
  <c r="W257" i="1"/>
  <c r="S257" i="1"/>
  <c r="T257" i="1" s="1"/>
  <c r="R257" i="1"/>
  <c r="M257" i="1"/>
  <c r="N257" i="1" s="1"/>
  <c r="O257" i="1" s="1"/>
  <c r="I257" i="1"/>
  <c r="G257" i="1"/>
  <c r="AA256" i="1"/>
  <c r="AB256" i="1" s="1"/>
  <c r="W256" i="1"/>
  <c r="X256" i="1" s="1"/>
  <c r="G256" i="1"/>
  <c r="I256" i="1" s="1"/>
  <c r="AJ255" i="1"/>
  <c r="AI255" i="1"/>
  <c r="AE255" i="1"/>
  <c r="AF255" i="1" s="1"/>
  <c r="AB255" i="1"/>
  <c r="AA255" i="1"/>
  <c r="W255" i="1"/>
  <c r="X255" i="1" s="1"/>
  <c r="R255" i="1"/>
  <c r="S255" i="1" s="1"/>
  <c r="T255" i="1" s="1"/>
  <c r="M255" i="1"/>
  <c r="N255" i="1" s="1"/>
  <c r="O255" i="1" s="1"/>
  <c r="G255" i="1"/>
  <c r="I255" i="1" s="1"/>
  <c r="AJ254" i="1"/>
  <c r="AI254" i="1"/>
  <c r="AE254" i="1"/>
  <c r="AF254" i="1" s="1"/>
  <c r="AB254" i="1"/>
  <c r="AA254" i="1"/>
  <c r="W254" i="1"/>
  <c r="X254" i="1" s="1"/>
  <c r="R254" i="1"/>
  <c r="S254" i="1" s="1"/>
  <c r="T254" i="1" s="1"/>
  <c r="M254" i="1"/>
  <c r="N254" i="1" s="1"/>
  <c r="O254" i="1" s="1"/>
  <c r="G254" i="1"/>
  <c r="I254" i="1" s="1"/>
  <c r="AJ253" i="1"/>
  <c r="AI253" i="1"/>
  <c r="AE253" i="1"/>
  <c r="AF253" i="1" s="1"/>
  <c r="AB253" i="1"/>
  <c r="AA253" i="1"/>
  <c r="G253" i="1"/>
  <c r="I253" i="1" s="1"/>
  <c r="AF252" i="1"/>
  <c r="AE252" i="1"/>
  <c r="AA252" i="1"/>
  <c r="AB252" i="1" s="1"/>
  <c r="I252" i="1"/>
  <c r="G252" i="1"/>
  <c r="G251" i="1"/>
  <c r="I251" i="1" s="1"/>
  <c r="R250" i="1"/>
  <c r="S250" i="1" s="1"/>
  <c r="T250" i="1" s="1"/>
  <c r="M250" i="1"/>
  <c r="N250" i="1" s="1"/>
  <c r="O250" i="1" s="1"/>
  <c r="G250" i="1"/>
  <c r="I250" i="1" s="1"/>
  <c r="R249" i="1"/>
  <c r="S249" i="1" s="1"/>
  <c r="T249" i="1" s="1"/>
  <c r="N249" i="1"/>
  <c r="O249" i="1" s="1"/>
  <c r="M249" i="1"/>
  <c r="G249" i="1"/>
  <c r="I249" i="1" s="1"/>
  <c r="R248" i="1"/>
  <c r="S248" i="1" s="1"/>
  <c r="T248" i="1" s="1"/>
  <c r="N248" i="1"/>
  <c r="O248" i="1" s="1"/>
  <c r="M248" i="1"/>
  <c r="G248" i="1"/>
  <c r="I248" i="1" s="1"/>
  <c r="AJ247" i="1"/>
  <c r="AI247" i="1"/>
  <c r="AA247" i="1"/>
  <c r="AB247" i="1" s="1"/>
  <c r="W247" i="1"/>
  <c r="X247" i="1" s="1"/>
  <c r="G247" i="1"/>
  <c r="I247" i="1" s="1"/>
  <c r="AJ246" i="1"/>
  <c r="AI246" i="1"/>
  <c r="AE246" i="1"/>
  <c r="AF246" i="1" s="1"/>
  <c r="W246" i="1"/>
  <c r="X246" i="1" s="1"/>
  <c r="G246" i="1"/>
  <c r="I246" i="1" s="1"/>
  <c r="AF245" i="1"/>
  <c r="AE245" i="1"/>
  <c r="AA245" i="1"/>
  <c r="AB245" i="1" s="1"/>
  <c r="W245" i="1"/>
  <c r="X245" i="1" s="1"/>
  <c r="S245" i="1"/>
  <c r="T245" i="1" s="1"/>
  <c r="R245" i="1"/>
  <c r="M245" i="1"/>
  <c r="N245" i="1" s="1"/>
  <c r="O245" i="1" s="1"/>
  <c r="G245" i="1"/>
  <c r="I245" i="1" s="1"/>
  <c r="AE244" i="1"/>
  <c r="AF244" i="1" s="1"/>
  <c r="AB244" i="1"/>
  <c r="AA244" i="1"/>
  <c r="W244" i="1"/>
  <c r="X244" i="1" s="1"/>
  <c r="S244" i="1"/>
  <c r="T244" i="1" s="1"/>
  <c r="R244" i="1"/>
  <c r="O244" i="1"/>
  <c r="N244" i="1"/>
  <c r="M244" i="1"/>
  <c r="G244" i="1"/>
  <c r="I244" i="1" s="1"/>
  <c r="N243" i="1"/>
  <c r="O243" i="1" s="1"/>
  <c r="M243" i="1"/>
  <c r="I243" i="1"/>
  <c r="G243" i="1"/>
  <c r="AI242" i="1"/>
  <c r="AJ242" i="1" s="1"/>
  <c r="AE242" i="1"/>
  <c r="AF242" i="1" s="1"/>
  <c r="AB242" i="1"/>
  <c r="AA242" i="1"/>
  <c r="X242" i="1"/>
  <c r="W242" i="1"/>
  <c r="R242" i="1"/>
  <c r="S242" i="1" s="1"/>
  <c r="T242" i="1" s="1"/>
  <c r="I242" i="1"/>
  <c r="G242" i="1"/>
  <c r="N241" i="1"/>
  <c r="O241" i="1" s="1"/>
  <c r="M241" i="1"/>
  <c r="G241" i="1"/>
  <c r="I241" i="1" s="1"/>
  <c r="G240" i="1"/>
  <c r="I240" i="1" s="1"/>
  <c r="I239" i="1"/>
  <c r="G239" i="1"/>
  <c r="I238" i="1"/>
  <c r="G238" i="1"/>
  <c r="T237" i="1"/>
  <c r="G237" i="1"/>
  <c r="I237" i="1" s="1"/>
  <c r="AE236" i="1"/>
  <c r="AF236" i="1" s="1"/>
  <c r="G236" i="1"/>
  <c r="I236" i="1" s="1"/>
  <c r="AB235" i="1"/>
  <c r="AA235" i="1"/>
  <c r="G235" i="1"/>
  <c r="I235" i="1" s="1"/>
  <c r="N234" i="1"/>
  <c r="O234" i="1" s="1"/>
  <c r="M234" i="1"/>
  <c r="I234" i="1"/>
  <c r="G234" i="1"/>
  <c r="AE233" i="1"/>
  <c r="AF233" i="1" s="1"/>
  <c r="AA233" i="1"/>
  <c r="AB233" i="1" s="1"/>
  <c r="X233" i="1"/>
  <c r="W233" i="1"/>
  <c r="S233" i="1"/>
  <c r="T233" i="1" s="1"/>
  <c r="R233" i="1"/>
  <c r="M233" i="1"/>
  <c r="N233" i="1" s="1"/>
  <c r="O233" i="1" s="1"/>
  <c r="G233" i="1"/>
  <c r="I233" i="1" s="1"/>
  <c r="AE232" i="1"/>
  <c r="AF232" i="1" s="1"/>
  <c r="AA232" i="1"/>
  <c r="AB232" i="1" s="1"/>
  <c r="X232" i="1"/>
  <c r="W232" i="1"/>
  <c r="I232" i="1"/>
  <c r="G232" i="1"/>
  <c r="AF231" i="1"/>
  <c r="AE231" i="1"/>
  <c r="AA231" i="1"/>
  <c r="AB231" i="1" s="1"/>
  <c r="X231" i="1"/>
  <c r="W231" i="1"/>
  <c r="S231" i="1"/>
  <c r="T231" i="1" s="1"/>
  <c r="R231" i="1"/>
  <c r="O231" i="1"/>
  <c r="M231" i="1"/>
  <c r="N231" i="1" s="1"/>
  <c r="G231" i="1"/>
  <c r="I231" i="1" s="1"/>
  <c r="AJ230" i="1"/>
  <c r="AI230" i="1"/>
  <c r="AF230" i="1"/>
  <c r="AE230" i="1"/>
  <c r="AA230" i="1"/>
  <c r="AB230" i="1" s="1"/>
  <c r="G230" i="1"/>
  <c r="I230" i="1" s="1"/>
  <c r="O229" i="1"/>
  <c r="N229" i="1"/>
  <c r="M229" i="1"/>
  <c r="I229" i="1"/>
  <c r="G229" i="1"/>
  <c r="M228" i="1"/>
  <c r="N228" i="1" s="1"/>
  <c r="O228" i="1" s="1"/>
  <c r="I228" i="1"/>
  <c r="G228" i="1"/>
  <c r="G227" i="1"/>
  <c r="I227" i="1" s="1"/>
  <c r="AI226" i="1"/>
  <c r="AJ226" i="1" s="1"/>
  <c r="M226" i="1"/>
  <c r="N226" i="1" s="1"/>
  <c r="O226" i="1" s="1"/>
  <c r="I226" i="1"/>
  <c r="G226" i="1"/>
  <c r="R225" i="1"/>
  <c r="S225" i="1" s="1"/>
  <c r="T225" i="1" s="1"/>
  <c r="M225" i="1"/>
  <c r="N225" i="1" s="1"/>
  <c r="O225" i="1" s="1"/>
  <c r="G225" i="1"/>
  <c r="I225" i="1" s="1"/>
  <c r="O224" i="1"/>
  <c r="M224" i="1"/>
  <c r="N224" i="1" s="1"/>
  <c r="I224" i="1"/>
  <c r="G224" i="1"/>
  <c r="R223" i="1"/>
  <c r="S223" i="1" s="1"/>
  <c r="T223" i="1" s="1"/>
  <c r="I223" i="1"/>
  <c r="G223" i="1"/>
  <c r="AI222" i="1"/>
  <c r="AJ222" i="1" s="1"/>
  <c r="AA222" i="1"/>
  <c r="AB222" i="1" s="1"/>
  <c r="G222" i="1"/>
  <c r="I222" i="1" s="1"/>
  <c r="AJ221" i="1"/>
  <c r="AI221" i="1"/>
  <c r="AE221" i="1"/>
  <c r="AF221" i="1" s="1"/>
  <c r="AA221" i="1"/>
  <c r="AB221" i="1" s="1"/>
  <c r="W221" i="1"/>
  <c r="X221" i="1" s="1"/>
  <c r="T221" i="1"/>
  <c r="R221" i="1"/>
  <c r="S221" i="1" s="1"/>
  <c r="N221" i="1"/>
  <c r="O221" i="1" s="1"/>
  <c r="M221" i="1"/>
  <c r="G221" i="1"/>
  <c r="I221" i="1" s="1"/>
  <c r="R220" i="1"/>
  <c r="S220" i="1" s="1"/>
  <c r="T220" i="1" s="1"/>
  <c r="M220" i="1"/>
  <c r="N220" i="1" s="1"/>
  <c r="O220" i="1" s="1"/>
  <c r="G220" i="1"/>
  <c r="I220" i="1" s="1"/>
  <c r="M219" i="1"/>
  <c r="N219" i="1" s="1"/>
  <c r="O219" i="1" s="1"/>
  <c r="I219" i="1"/>
  <c r="G219" i="1"/>
  <c r="G218" i="1"/>
  <c r="I218" i="1" s="1"/>
  <c r="G217" i="1"/>
  <c r="I217" i="1" s="1"/>
  <c r="W216" i="1"/>
  <c r="X216" i="1" s="1"/>
  <c r="G216" i="1"/>
  <c r="I216" i="1" s="1"/>
  <c r="AJ215" i="1"/>
  <c r="AI215" i="1"/>
  <c r="AF215" i="1"/>
  <c r="AE215" i="1"/>
  <c r="AA215" i="1"/>
  <c r="AB215" i="1" s="1"/>
  <c r="G215" i="1"/>
  <c r="I215" i="1" s="1"/>
  <c r="O214" i="1"/>
  <c r="N214" i="1"/>
  <c r="M214" i="1"/>
  <c r="I214" i="1"/>
  <c r="G214" i="1"/>
  <c r="M213" i="1"/>
  <c r="N213" i="1" s="1"/>
  <c r="O213" i="1" s="1"/>
  <c r="I213" i="1"/>
  <c r="G213" i="1"/>
  <c r="N212" i="1"/>
  <c r="O212" i="1" s="1"/>
  <c r="M212" i="1"/>
  <c r="G212" i="1"/>
  <c r="I212" i="1" s="1"/>
  <c r="AI211" i="1"/>
  <c r="AJ211" i="1" s="1"/>
  <c r="I211" i="1"/>
  <c r="G211" i="1"/>
  <c r="I210" i="1"/>
  <c r="G210" i="1"/>
  <c r="G209" i="1"/>
  <c r="I209" i="1" s="1"/>
  <c r="AE208" i="1"/>
  <c r="AF208" i="1" s="1"/>
  <c r="M208" i="1"/>
  <c r="N208" i="1" s="1"/>
  <c r="O208" i="1" s="1"/>
  <c r="G208" i="1"/>
  <c r="I208" i="1" s="1"/>
  <c r="M207" i="1"/>
  <c r="N207" i="1" s="1"/>
  <c r="O207" i="1" s="1"/>
  <c r="I207" i="1"/>
  <c r="G207" i="1"/>
  <c r="I206" i="1"/>
  <c r="G206" i="1"/>
  <c r="R205" i="1"/>
  <c r="S205" i="1" s="1"/>
  <c r="T205" i="1" s="1"/>
  <c r="I205" i="1"/>
  <c r="G205" i="1"/>
  <c r="G204" i="1"/>
  <c r="I204" i="1" s="1"/>
  <c r="G203" i="1"/>
  <c r="I203" i="1" s="1"/>
  <c r="M202" i="1"/>
  <c r="N202" i="1" s="1"/>
  <c r="O202" i="1" s="1"/>
  <c r="I202" i="1"/>
  <c r="G202" i="1"/>
  <c r="AJ201" i="1"/>
  <c r="AI201" i="1"/>
  <c r="AF201" i="1"/>
  <c r="AE201" i="1"/>
  <c r="G201" i="1"/>
  <c r="I201" i="1" s="1"/>
  <c r="I200" i="1"/>
  <c r="G200" i="1"/>
  <c r="AJ199" i="1"/>
  <c r="AI199" i="1"/>
  <c r="AF199" i="1"/>
  <c r="AE199" i="1"/>
  <c r="AA199" i="1"/>
  <c r="AB199" i="1" s="1"/>
  <c r="X199" i="1"/>
  <c r="W199" i="1"/>
  <c r="T199" i="1"/>
  <c r="R199" i="1"/>
  <c r="S199" i="1" s="1"/>
  <c r="G199" i="1"/>
  <c r="I199" i="1" s="1"/>
  <c r="I198" i="1"/>
  <c r="G198" i="1"/>
  <c r="N197" i="1"/>
  <c r="O197" i="1" s="1"/>
  <c r="M197" i="1"/>
  <c r="I197" i="1"/>
  <c r="G197" i="1"/>
  <c r="N196" i="1"/>
  <c r="O196" i="1" s="1"/>
  <c r="M196" i="1"/>
  <c r="G196" i="1"/>
  <c r="I196" i="1" s="1"/>
  <c r="S195" i="1"/>
  <c r="T195" i="1" s="1"/>
  <c r="R195" i="1"/>
  <c r="N195" i="1"/>
  <c r="O195" i="1" s="1"/>
  <c r="M195" i="1"/>
  <c r="G195" i="1"/>
  <c r="I195" i="1" s="1"/>
  <c r="R194" i="1"/>
  <c r="S194" i="1" s="1"/>
  <c r="T194" i="1" s="1"/>
  <c r="N194" i="1"/>
  <c r="O194" i="1" s="1"/>
  <c r="M194" i="1"/>
  <c r="G194" i="1"/>
  <c r="I194" i="1" s="1"/>
  <c r="R193" i="1"/>
  <c r="S193" i="1" s="1"/>
  <c r="T193" i="1" s="1"/>
  <c r="G193" i="1"/>
  <c r="I193" i="1" s="1"/>
  <c r="M192" i="1"/>
  <c r="N192" i="1" s="1"/>
  <c r="O192" i="1" s="1"/>
  <c r="G192" i="1"/>
  <c r="I192" i="1" s="1"/>
  <c r="R191" i="1"/>
  <c r="S191" i="1" s="1"/>
  <c r="T191" i="1" s="1"/>
  <c r="I191" i="1"/>
  <c r="G191" i="1"/>
  <c r="T190" i="1"/>
  <c r="R190" i="1"/>
  <c r="S190" i="1" s="1"/>
  <c r="G190" i="1"/>
  <c r="I190" i="1" s="1"/>
  <c r="I189" i="1"/>
  <c r="G189" i="1"/>
  <c r="N188" i="1"/>
  <c r="O188" i="1" s="1"/>
  <c r="M188" i="1"/>
  <c r="G188" i="1"/>
  <c r="I188" i="1" s="1"/>
  <c r="G187" i="1"/>
  <c r="I187" i="1" s="1"/>
  <c r="M186" i="1"/>
  <c r="N186" i="1" s="1"/>
  <c r="O186" i="1" s="1"/>
  <c r="G186" i="1"/>
  <c r="I186" i="1" s="1"/>
  <c r="AI185" i="1"/>
  <c r="AJ185" i="1" s="1"/>
  <c r="I185" i="1"/>
  <c r="G185" i="1"/>
  <c r="G184" i="1"/>
  <c r="I184" i="1" s="1"/>
  <c r="AI183" i="1"/>
  <c r="AJ183" i="1" s="1"/>
  <c r="G183" i="1"/>
  <c r="I183" i="1" s="1"/>
  <c r="I182" i="1"/>
  <c r="G182" i="1"/>
  <c r="AI181" i="1"/>
  <c r="AJ181" i="1" s="1"/>
  <c r="R181" i="1"/>
  <c r="S181" i="1" s="1"/>
  <c r="T181" i="1" s="1"/>
  <c r="G181" i="1"/>
  <c r="I181" i="1" s="1"/>
  <c r="R180" i="1"/>
  <c r="S180" i="1" s="1"/>
  <c r="T180" i="1" s="1"/>
  <c r="G180" i="1"/>
  <c r="I180" i="1" s="1"/>
  <c r="W179" i="1"/>
  <c r="X179" i="1" s="1"/>
  <c r="I179" i="1"/>
  <c r="G179" i="1"/>
  <c r="G178" i="1"/>
  <c r="I178" i="1" s="1"/>
  <c r="R177" i="1"/>
  <c r="S177" i="1" s="1"/>
  <c r="T177" i="1" s="1"/>
  <c r="N177" i="1"/>
  <c r="O177" i="1" s="1"/>
  <c r="M177" i="1"/>
  <c r="G177" i="1"/>
  <c r="I177" i="1" s="1"/>
  <c r="G176" i="1"/>
  <c r="I176" i="1" s="1"/>
  <c r="R175" i="1"/>
  <c r="S175" i="1" s="1"/>
  <c r="T175" i="1" s="1"/>
  <c r="I175" i="1"/>
  <c r="G175" i="1"/>
  <c r="AJ174" i="1"/>
  <c r="AI174" i="1"/>
  <c r="AE174" i="1"/>
  <c r="AF174" i="1" s="1"/>
  <c r="AA174" i="1"/>
  <c r="AB174" i="1" s="1"/>
  <c r="X174" i="1"/>
  <c r="W174" i="1"/>
  <c r="I174" i="1"/>
  <c r="G174" i="1"/>
  <c r="AI173" i="1"/>
  <c r="AJ173" i="1" s="1"/>
  <c r="AE173" i="1"/>
  <c r="AF173" i="1" s="1"/>
  <c r="AB173" i="1"/>
  <c r="AA173" i="1"/>
  <c r="I173" i="1"/>
  <c r="G173" i="1"/>
  <c r="R172" i="1"/>
  <c r="S172" i="1" s="1"/>
  <c r="T172" i="1" s="1"/>
  <c r="I172" i="1"/>
  <c r="G172" i="1"/>
  <c r="G171" i="1"/>
  <c r="I171" i="1" s="1"/>
  <c r="R170" i="1"/>
  <c r="S170" i="1" s="1"/>
  <c r="T170" i="1" s="1"/>
  <c r="G170" i="1"/>
  <c r="I170" i="1" s="1"/>
  <c r="AF169" i="1"/>
  <c r="AE169" i="1"/>
  <c r="AB169" i="1"/>
  <c r="AA169" i="1"/>
  <c r="W169" i="1"/>
  <c r="X169" i="1" s="1"/>
  <c r="G169" i="1"/>
  <c r="I169" i="1" s="1"/>
  <c r="R168" i="1"/>
  <c r="S168" i="1" s="1"/>
  <c r="T168" i="1" s="1"/>
  <c r="G168" i="1"/>
  <c r="I168" i="1" s="1"/>
  <c r="T167" i="1"/>
  <c r="G167" i="1"/>
  <c r="I167" i="1" s="1"/>
  <c r="R166" i="1"/>
  <c r="S166" i="1" s="1"/>
  <c r="T166" i="1" s="1"/>
  <c r="G166" i="1"/>
  <c r="I166" i="1" s="1"/>
  <c r="AE165" i="1"/>
  <c r="AF165" i="1" s="1"/>
  <c r="AB165" i="1"/>
  <c r="AA165" i="1"/>
  <c r="W165" i="1"/>
  <c r="X165" i="1" s="1"/>
  <c r="G165" i="1"/>
  <c r="I165" i="1" s="1"/>
  <c r="AA164" i="1"/>
  <c r="AB164" i="1" s="1"/>
  <c r="T164" i="1"/>
  <c r="S164" i="1"/>
  <c r="R164" i="1"/>
  <c r="M164" i="1"/>
  <c r="N164" i="1" s="1"/>
  <c r="O164" i="1" s="1"/>
  <c r="G164" i="1"/>
  <c r="I164" i="1" s="1"/>
  <c r="I163" i="1"/>
  <c r="G163" i="1"/>
  <c r="AA162" i="1"/>
  <c r="AB162" i="1" s="1"/>
  <c r="N162" i="1"/>
  <c r="O162" i="1" s="1"/>
  <c r="M162" i="1"/>
  <c r="G162" i="1"/>
  <c r="I162" i="1" s="1"/>
  <c r="AJ161" i="1"/>
  <c r="AI161" i="1"/>
  <c r="AF161" i="1"/>
  <c r="AE161" i="1"/>
  <c r="W161" i="1"/>
  <c r="X161" i="1" s="1"/>
  <c r="G161" i="1"/>
  <c r="I161" i="1" s="1"/>
  <c r="R160" i="1"/>
  <c r="S160" i="1" s="1"/>
  <c r="T160" i="1" s="1"/>
  <c r="M160" i="1"/>
  <c r="N160" i="1" s="1"/>
  <c r="O160" i="1" s="1"/>
  <c r="G160" i="1"/>
  <c r="I160" i="1" s="1"/>
  <c r="M159" i="1"/>
  <c r="N159" i="1" s="1"/>
  <c r="O159" i="1" s="1"/>
  <c r="G159" i="1"/>
  <c r="I159" i="1" s="1"/>
  <c r="AI158" i="1"/>
  <c r="AJ158" i="1" s="1"/>
  <c r="X158" i="1"/>
  <c r="W158" i="1"/>
  <c r="S158" i="1"/>
  <c r="T158" i="1" s="1"/>
  <c r="R158" i="1"/>
  <c r="G158" i="1"/>
  <c r="I158" i="1" s="1"/>
  <c r="AI157" i="1"/>
  <c r="AJ157" i="1" s="1"/>
  <c r="AF157" i="1"/>
  <c r="AE157" i="1"/>
  <c r="AB157" i="1"/>
  <c r="AA157" i="1"/>
  <c r="G157" i="1"/>
  <c r="I157" i="1" s="1"/>
  <c r="N156" i="1"/>
  <c r="O156" i="1" s="1"/>
  <c r="M156" i="1"/>
  <c r="G156" i="1"/>
  <c r="I156" i="1" s="1"/>
  <c r="M155" i="1"/>
  <c r="N155" i="1" s="1"/>
  <c r="O155" i="1" s="1"/>
  <c r="G155" i="1"/>
  <c r="I155" i="1" s="1"/>
  <c r="M154" i="1"/>
  <c r="N154" i="1" s="1"/>
  <c r="O154" i="1" s="1"/>
  <c r="G154" i="1"/>
  <c r="I154" i="1" s="1"/>
  <c r="AE153" i="1"/>
  <c r="AF153" i="1" s="1"/>
  <c r="AB153" i="1"/>
  <c r="AA153" i="1"/>
  <c r="G153" i="1"/>
  <c r="I153" i="1" s="1"/>
  <c r="W152" i="1"/>
  <c r="X152" i="1" s="1"/>
  <c r="G152" i="1"/>
  <c r="I152" i="1" s="1"/>
  <c r="I151" i="1"/>
  <c r="G151" i="1"/>
  <c r="W150" i="1"/>
  <c r="X150" i="1" s="1"/>
  <c r="R150" i="1"/>
  <c r="S150" i="1" s="1"/>
  <c r="T150" i="1" s="1"/>
  <c r="G150" i="1"/>
  <c r="I150" i="1" s="1"/>
  <c r="I149" i="1"/>
  <c r="G149" i="1"/>
  <c r="M148" i="1"/>
  <c r="N148" i="1" s="1"/>
  <c r="O148" i="1" s="1"/>
  <c r="G148" i="1"/>
  <c r="I148" i="1" s="1"/>
  <c r="O147" i="1"/>
  <c r="N147" i="1"/>
  <c r="M147" i="1"/>
  <c r="I147" i="1"/>
  <c r="G147" i="1"/>
  <c r="M146" i="1"/>
  <c r="N146" i="1" s="1"/>
  <c r="O146" i="1" s="1"/>
  <c r="I146" i="1"/>
  <c r="G146" i="1"/>
  <c r="T145" i="1"/>
  <c r="M145" i="1"/>
  <c r="N145" i="1" s="1"/>
  <c r="O145" i="1" s="1"/>
  <c r="G145" i="1"/>
  <c r="I145" i="1" s="1"/>
  <c r="T144" i="1"/>
  <c r="S144" i="1"/>
  <c r="R144" i="1"/>
  <c r="M144" i="1"/>
  <c r="N144" i="1" s="1"/>
  <c r="O144" i="1" s="1"/>
  <c r="G144" i="1"/>
  <c r="I144" i="1" s="1"/>
  <c r="O143" i="1"/>
  <c r="N143" i="1"/>
  <c r="M143" i="1"/>
  <c r="I143" i="1"/>
  <c r="G143" i="1"/>
  <c r="M142" i="1"/>
  <c r="N142" i="1" s="1"/>
  <c r="O142" i="1" s="1"/>
  <c r="I142" i="1"/>
  <c r="G142" i="1"/>
  <c r="N141" i="1"/>
  <c r="O141" i="1" s="1"/>
  <c r="M141" i="1"/>
  <c r="G141" i="1"/>
  <c r="I141" i="1" s="1"/>
  <c r="AI140" i="1"/>
  <c r="AJ140" i="1" s="1"/>
  <c r="I140" i="1"/>
  <c r="G140" i="1"/>
  <c r="T139" i="1"/>
  <c r="R139" i="1"/>
  <c r="S139" i="1" s="1"/>
  <c r="M139" i="1"/>
  <c r="N139" i="1" s="1"/>
  <c r="O139" i="1" s="1"/>
  <c r="I139" i="1"/>
  <c r="G139" i="1"/>
  <c r="R138" i="1"/>
  <c r="S138" i="1" s="1"/>
  <c r="T138" i="1" s="1"/>
  <c r="M138" i="1"/>
  <c r="N138" i="1" s="1"/>
  <c r="O138" i="1" s="1"/>
  <c r="I138" i="1"/>
  <c r="G138" i="1"/>
  <c r="O137" i="1"/>
  <c r="M137" i="1"/>
  <c r="N137" i="1" s="1"/>
  <c r="G137" i="1"/>
  <c r="I137" i="1" s="1"/>
  <c r="I136" i="1"/>
  <c r="G136" i="1"/>
  <c r="AI135" i="1"/>
  <c r="AJ135" i="1" s="1"/>
  <c r="G135" i="1"/>
  <c r="I135" i="1" s="1"/>
  <c r="R134" i="1"/>
  <c r="S134" i="1" s="1"/>
  <c r="T134" i="1" s="1"/>
  <c r="I134" i="1"/>
  <c r="G134" i="1"/>
  <c r="I133" i="1"/>
  <c r="G133" i="1"/>
  <c r="X132" i="1"/>
  <c r="W132" i="1"/>
  <c r="G132" i="1"/>
  <c r="I132" i="1" s="1"/>
  <c r="R131" i="1"/>
  <c r="S131" i="1" s="1"/>
  <c r="T131" i="1" s="1"/>
  <c r="G131" i="1"/>
  <c r="I131" i="1" s="1"/>
  <c r="G130" i="1"/>
  <c r="I130" i="1" s="1"/>
  <c r="I129" i="1"/>
  <c r="G129" i="1"/>
  <c r="S128" i="1"/>
  <c r="T128" i="1" s="1"/>
  <c r="R128" i="1"/>
  <c r="G128" i="1"/>
  <c r="I128" i="1" s="1"/>
  <c r="S127" i="1"/>
  <c r="T127" i="1" s="1"/>
  <c r="R127" i="1"/>
  <c r="G127" i="1"/>
  <c r="I127" i="1" s="1"/>
  <c r="R126" i="1"/>
  <c r="S126" i="1" s="1"/>
  <c r="T126" i="1" s="1"/>
  <c r="G126" i="1"/>
  <c r="I126" i="1" s="1"/>
  <c r="R125" i="1"/>
  <c r="S125" i="1" s="1"/>
  <c r="T125" i="1" s="1"/>
  <c r="G125" i="1"/>
  <c r="I125" i="1" s="1"/>
  <c r="M124" i="1"/>
  <c r="N124" i="1" s="1"/>
  <c r="O124" i="1" s="1"/>
  <c r="I124" i="1"/>
  <c r="G124" i="1"/>
  <c r="AB123" i="1"/>
  <c r="AA123" i="1"/>
  <c r="X123" i="1"/>
  <c r="W123" i="1"/>
  <c r="S123" i="1"/>
  <c r="T123" i="1" s="1"/>
  <c r="R123" i="1"/>
  <c r="G123" i="1"/>
  <c r="I123" i="1" s="1"/>
  <c r="N122" i="1"/>
  <c r="O122" i="1" s="1"/>
  <c r="M122" i="1"/>
  <c r="G122" i="1"/>
  <c r="I122" i="1" s="1"/>
  <c r="X121" i="1"/>
  <c r="W121" i="1"/>
  <c r="I121" i="1"/>
  <c r="G121" i="1"/>
  <c r="G120" i="1"/>
  <c r="I120" i="1" s="1"/>
  <c r="W119" i="1"/>
  <c r="X119" i="1" s="1"/>
  <c r="I119" i="1"/>
  <c r="G119" i="1"/>
  <c r="AJ118" i="1"/>
  <c r="AI118" i="1"/>
  <c r="AF118" i="1"/>
  <c r="AE118" i="1"/>
  <c r="G118" i="1"/>
  <c r="I118" i="1" s="1"/>
  <c r="X117" i="1"/>
  <c r="W117" i="1"/>
  <c r="I117" i="1"/>
  <c r="G117" i="1"/>
  <c r="M116" i="1"/>
  <c r="N116" i="1" s="1"/>
  <c r="O116" i="1" s="1"/>
  <c r="I116" i="1"/>
  <c r="G116" i="1"/>
  <c r="N115" i="1"/>
  <c r="O115" i="1" s="1"/>
  <c r="M115" i="1"/>
  <c r="G115" i="1"/>
  <c r="I115" i="1" s="1"/>
  <c r="AI114" i="1"/>
  <c r="AJ114" i="1" s="1"/>
  <c r="AF114" i="1"/>
  <c r="AE114" i="1"/>
  <c r="AB114" i="1"/>
  <c r="AA114" i="1"/>
  <c r="G114" i="1"/>
  <c r="I114" i="1" s="1"/>
  <c r="N113" i="1"/>
  <c r="O113" i="1" s="1"/>
  <c r="M113" i="1"/>
  <c r="G113" i="1"/>
  <c r="I113" i="1" s="1"/>
  <c r="T112" i="1"/>
  <c r="G112" i="1"/>
  <c r="I112" i="1" s="1"/>
  <c r="S111" i="1"/>
  <c r="T111" i="1" s="1"/>
  <c r="R111" i="1"/>
  <c r="G111" i="1"/>
  <c r="I111" i="1" s="1"/>
  <c r="AI110" i="1"/>
  <c r="AJ110" i="1" s="1"/>
  <c r="AE110" i="1"/>
  <c r="AF110" i="1" s="1"/>
  <c r="I110" i="1"/>
  <c r="G110" i="1"/>
  <c r="G109" i="1"/>
  <c r="I109" i="1" s="1"/>
  <c r="G108" i="1"/>
  <c r="I108" i="1" s="1"/>
  <c r="W107" i="1"/>
  <c r="X107" i="1" s="1"/>
  <c r="I107" i="1"/>
  <c r="G107" i="1"/>
  <c r="S106" i="1"/>
  <c r="T106" i="1" s="1"/>
  <c r="R106" i="1"/>
  <c r="G106" i="1"/>
  <c r="I106" i="1" s="1"/>
  <c r="S105" i="1"/>
  <c r="T105" i="1" s="1"/>
  <c r="R105" i="1"/>
  <c r="G105" i="1"/>
  <c r="I105" i="1" s="1"/>
  <c r="AA104" i="1"/>
  <c r="AB104" i="1" s="1"/>
  <c r="G104" i="1"/>
  <c r="I104" i="1" s="1"/>
  <c r="I103" i="1"/>
  <c r="G103" i="1"/>
  <c r="AA102" i="1"/>
  <c r="AB102" i="1" s="1"/>
  <c r="G102" i="1"/>
  <c r="I102" i="1" s="1"/>
  <c r="R101" i="1"/>
  <c r="S101" i="1" s="1"/>
  <c r="T101" i="1" s="1"/>
  <c r="I101" i="1"/>
  <c r="G101" i="1"/>
  <c r="I100" i="1"/>
  <c r="G100" i="1"/>
  <c r="R99" i="1"/>
  <c r="S99" i="1" s="1"/>
  <c r="T99" i="1" s="1"/>
  <c r="I99" i="1"/>
  <c r="G99" i="1"/>
  <c r="S98" i="1"/>
  <c r="T98" i="1" s="1"/>
  <c r="R98" i="1"/>
  <c r="G98" i="1"/>
  <c r="I98" i="1" s="1"/>
  <c r="AI97" i="1"/>
  <c r="AJ97" i="1" s="1"/>
  <c r="AF97" i="1"/>
  <c r="AE97" i="1"/>
  <c r="AB97" i="1"/>
  <c r="AA97" i="1"/>
  <c r="G97" i="1"/>
  <c r="I97" i="1" s="1"/>
  <c r="T96" i="1"/>
  <c r="S96" i="1"/>
  <c r="R96" i="1"/>
  <c r="N96" i="1"/>
  <c r="O96" i="1" s="1"/>
  <c r="M96" i="1"/>
  <c r="G96" i="1"/>
  <c r="I96" i="1" s="1"/>
  <c r="T95" i="1"/>
  <c r="S95" i="1"/>
  <c r="R95" i="1"/>
  <c r="G95" i="1"/>
  <c r="I95" i="1" s="1"/>
  <c r="R94" i="1"/>
  <c r="S94" i="1" s="1"/>
  <c r="T94" i="1" s="1"/>
  <c r="N94" i="1"/>
  <c r="O94" i="1" s="1"/>
  <c r="M94" i="1"/>
  <c r="G94" i="1"/>
  <c r="I94" i="1" s="1"/>
  <c r="AI93" i="1"/>
  <c r="AJ93" i="1" s="1"/>
  <c r="AE93" i="1"/>
  <c r="AF93" i="1" s="1"/>
  <c r="AB93" i="1"/>
  <c r="AA93" i="1"/>
  <c r="W93" i="1"/>
  <c r="X93" i="1" s="1"/>
  <c r="G93" i="1"/>
  <c r="I93" i="1" s="1"/>
  <c r="R92" i="1"/>
  <c r="S92" i="1" s="1"/>
  <c r="T92" i="1" s="1"/>
  <c r="M92" i="1"/>
  <c r="N92" i="1" s="1"/>
  <c r="O92" i="1" s="1"/>
  <c r="G92" i="1"/>
  <c r="I92" i="1" s="1"/>
  <c r="T91" i="1"/>
  <c r="G91" i="1"/>
  <c r="I91" i="1" s="1"/>
  <c r="R90" i="1"/>
  <c r="S90" i="1" s="1"/>
  <c r="T90" i="1" s="1"/>
  <c r="G90" i="1"/>
  <c r="I90" i="1" s="1"/>
  <c r="AI89" i="1"/>
  <c r="AJ89" i="1" s="1"/>
  <c r="AF89" i="1"/>
  <c r="AE89" i="1"/>
  <c r="AA89" i="1"/>
  <c r="AB89" i="1" s="1"/>
  <c r="W89" i="1"/>
  <c r="X89" i="1" s="1"/>
  <c r="G89" i="1"/>
  <c r="I89" i="1" s="1"/>
  <c r="X88" i="1"/>
  <c r="W88" i="1"/>
  <c r="N88" i="1"/>
  <c r="O88" i="1" s="1"/>
  <c r="M88" i="1"/>
  <c r="I88" i="1"/>
  <c r="G88" i="1"/>
  <c r="G87" i="1"/>
  <c r="I87" i="1" s="1"/>
  <c r="AB86" i="1"/>
  <c r="AA86" i="1"/>
  <c r="X86" i="1"/>
  <c r="W86" i="1"/>
  <c r="M86" i="1"/>
  <c r="N86" i="1" s="1"/>
  <c r="O86" i="1" s="1"/>
  <c r="I86" i="1"/>
  <c r="G86" i="1"/>
  <c r="AI85" i="1"/>
  <c r="AJ85" i="1" s="1"/>
  <c r="S85" i="1"/>
  <c r="T85" i="1" s="1"/>
  <c r="R85" i="1"/>
  <c r="I85" i="1"/>
  <c r="G85" i="1"/>
  <c r="AB84" i="1"/>
  <c r="AA84" i="1"/>
  <c r="X84" i="1"/>
  <c r="W84" i="1"/>
  <c r="M84" i="1"/>
  <c r="N84" i="1" s="1"/>
  <c r="O84" i="1" s="1"/>
  <c r="I84" i="1"/>
  <c r="G84" i="1"/>
  <c r="G83" i="1"/>
  <c r="I83" i="1" s="1"/>
  <c r="N82" i="1"/>
  <c r="O82" i="1" s="1"/>
  <c r="M82" i="1"/>
  <c r="G82" i="1"/>
  <c r="I82" i="1" s="1"/>
  <c r="AJ81" i="1"/>
  <c r="AI81" i="1"/>
  <c r="I81" i="1"/>
  <c r="G81" i="1"/>
  <c r="AF80" i="1"/>
  <c r="AE80" i="1"/>
  <c r="AA80" i="1"/>
  <c r="AB80" i="1" s="1"/>
  <c r="X80" i="1"/>
  <c r="W80" i="1"/>
  <c r="O80" i="1"/>
  <c r="M80" i="1"/>
  <c r="N80" i="1" s="1"/>
  <c r="G80" i="1"/>
  <c r="I80" i="1" s="1"/>
  <c r="X79" i="1"/>
  <c r="W79" i="1"/>
  <c r="S79" i="1"/>
  <c r="T79" i="1" s="1"/>
  <c r="R79" i="1"/>
  <c r="M79" i="1"/>
  <c r="N79" i="1" s="1"/>
  <c r="O79" i="1" s="1"/>
  <c r="I79" i="1"/>
  <c r="G79" i="1"/>
  <c r="S78" i="1"/>
  <c r="T78" i="1" s="1"/>
  <c r="R78" i="1"/>
  <c r="I78" i="1"/>
  <c r="G78" i="1"/>
  <c r="T77" i="1"/>
  <c r="I77" i="1"/>
  <c r="G77" i="1"/>
  <c r="AE76" i="1"/>
  <c r="AF76" i="1" s="1"/>
  <c r="S76" i="1"/>
  <c r="T76" i="1" s="1"/>
  <c r="R76" i="1"/>
  <c r="G76" i="1"/>
  <c r="I76" i="1" s="1"/>
  <c r="AB75" i="1"/>
  <c r="AA75" i="1"/>
  <c r="X75" i="1"/>
  <c r="W75" i="1"/>
  <c r="I75" i="1"/>
  <c r="G75" i="1"/>
  <c r="G74" i="1"/>
  <c r="I74" i="1" s="1"/>
  <c r="I73" i="1"/>
  <c r="G73" i="1"/>
  <c r="T72" i="1"/>
  <c r="R72" i="1"/>
  <c r="S72" i="1" s="1"/>
  <c r="G72" i="1"/>
  <c r="I72" i="1" s="1"/>
  <c r="AF71" i="1"/>
  <c r="AE71" i="1"/>
  <c r="G71" i="1"/>
  <c r="I71" i="1" s="1"/>
  <c r="AA70" i="1"/>
  <c r="AB70" i="1" s="1"/>
  <c r="G70" i="1"/>
  <c r="I70" i="1" s="1"/>
  <c r="T69" i="1"/>
  <c r="S69" i="1"/>
  <c r="R69" i="1"/>
  <c r="I69" i="1"/>
  <c r="G69" i="1"/>
  <c r="T68" i="1"/>
  <c r="G68" i="1"/>
  <c r="I68" i="1" s="1"/>
  <c r="AF67" i="1"/>
  <c r="AE67" i="1"/>
  <c r="W67" i="1"/>
  <c r="X67" i="1" s="1"/>
  <c r="S67" i="1"/>
  <c r="T67" i="1" s="1"/>
  <c r="R67" i="1"/>
  <c r="G67" i="1"/>
  <c r="I67" i="1" s="1"/>
  <c r="AB66" i="1"/>
  <c r="AA66" i="1"/>
  <c r="I66" i="1"/>
  <c r="G66" i="1"/>
  <c r="M65" i="1"/>
  <c r="N65" i="1" s="1"/>
  <c r="O65" i="1" s="1"/>
  <c r="I65" i="1"/>
  <c r="G65" i="1"/>
  <c r="T64" i="1"/>
  <c r="I64" i="1"/>
  <c r="G64" i="1"/>
  <c r="R63" i="1"/>
  <c r="S63" i="1" s="1"/>
  <c r="T63" i="1" s="1"/>
  <c r="O63" i="1"/>
  <c r="N63" i="1"/>
  <c r="M63" i="1"/>
  <c r="I63" i="1"/>
  <c r="G63" i="1"/>
  <c r="M62" i="1"/>
  <c r="N62" i="1" s="1"/>
  <c r="O62" i="1" s="1"/>
  <c r="I62" i="1"/>
  <c r="G62" i="1"/>
  <c r="AA61" i="1"/>
  <c r="AB61" i="1" s="1"/>
  <c r="W61" i="1"/>
  <c r="X61" i="1" s="1"/>
  <c r="G61" i="1"/>
  <c r="I61" i="1" s="1"/>
  <c r="T60" i="1"/>
  <c r="S60" i="1"/>
  <c r="R60" i="1"/>
  <c r="I60" i="1"/>
  <c r="G60" i="1"/>
  <c r="T59" i="1"/>
  <c r="G59" i="1"/>
  <c r="I59" i="1" s="1"/>
  <c r="T58" i="1"/>
  <c r="S58" i="1"/>
  <c r="R58" i="1"/>
  <c r="I58" i="1"/>
  <c r="G58" i="1"/>
  <c r="M57" i="1"/>
  <c r="N57" i="1" s="1"/>
  <c r="O57" i="1" s="1"/>
  <c r="I57" i="1"/>
  <c r="G57" i="1"/>
  <c r="S56" i="1"/>
  <c r="T56" i="1" s="1"/>
  <c r="R56" i="1"/>
  <c r="I56" i="1"/>
  <c r="G56" i="1"/>
  <c r="T55" i="1"/>
  <c r="I55" i="1"/>
  <c r="G55" i="1"/>
  <c r="S54" i="1"/>
  <c r="T54" i="1" s="1"/>
  <c r="R54" i="1"/>
  <c r="I54" i="1"/>
  <c r="G54" i="1"/>
  <c r="AF53" i="1"/>
  <c r="AE53" i="1"/>
  <c r="I53" i="1"/>
  <c r="G53" i="1"/>
  <c r="I52" i="1"/>
  <c r="G52" i="1"/>
  <c r="G51" i="1"/>
  <c r="I51" i="1" s="1"/>
  <c r="N50" i="1"/>
  <c r="O50" i="1" s="1"/>
  <c r="M50" i="1"/>
  <c r="G50" i="1"/>
  <c r="I50" i="1" s="1"/>
  <c r="M49" i="1"/>
  <c r="N49" i="1" s="1"/>
  <c r="O49" i="1" s="1"/>
  <c r="I49" i="1"/>
  <c r="G49" i="1"/>
  <c r="I48" i="1"/>
  <c r="G48" i="1"/>
  <c r="R47" i="1"/>
  <c r="S47" i="1" s="1"/>
  <c r="T47" i="1" s="1"/>
  <c r="N47" i="1"/>
  <c r="O47" i="1" s="1"/>
  <c r="M47" i="1"/>
  <c r="I47" i="1"/>
  <c r="G47" i="1"/>
  <c r="AJ46" i="1"/>
  <c r="AI46" i="1"/>
  <c r="AF46" i="1"/>
  <c r="AE46" i="1"/>
  <c r="I46" i="1"/>
  <c r="G46" i="1"/>
  <c r="M45" i="1"/>
  <c r="N45" i="1" s="1"/>
  <c r="O45" i="1" s="1"/>
  <c r="G45" i="1"/>
  <c r="I45" i="1" s="1"/>
  <c r="G44" i="1"/>
  <c r="I44" i="1" s="1"/>
  <c r="I43" i="1"/>
  <c r="G43" i="1"/>
  <c r="S42" i="1"/>
  <c r="T42" i="1" s="1"/>
  <c r="R42" i="1"/>
  <c r="I42" i="1"/>
  <c r="G42" i="1"/>
  <c r="AI41" i="1"/>
  <c r="AJ41" i="1" s="1"/>
  <c r="AF41" i="1"/>
  <c r="AE41" i="1"/>
  <c r="AB41" i="1"/>
  <c r="AA41" i="1"/>
  <c r="X41" i="1"/>
  <c r="W41" i="1"/>
  <c r="G41" i="1"/>
  <c r="I41" i="1" s="1"/>
  <c r="R40" i="1"/>
  <c r="S40" i="1" s="1"/>
  <c r="T40" i="1" s="1"/>
  <c r="I40" i="1"/>
  <c r="G40" i="1"/>
  <c r="S39" i="1"/>
  <c r="T39" i="1" s="1"/>
  <c r="R39" i="1"/>
  <c r="I39" i="1"/>
  <c r="G39" i="1"/>
  <c r="T38" i="1"/>
  <c r="I38" i="1"/>
  <c r="G38" i="1"/>
  <c r="S37" i="1"/>
  <c r="T37" i="1" s="1"/>
  <c r="R37" i="1"/>
  <c r="I37" i="1"/>
  <c r="G37" i="1"/>
  <c r="O36" i="1"/>
  <c r="N36" i="1"/>
  <c r="M36" i="1"/>
  <c r="G36" i="1"/>
  <c r="I36" i="1" s="1"/>
  <c r="I35" i="1"/>
  <c r="G35" i="1"/>
  <c r="G34" i="1"/>
  <c r="I34" i="1" s="1"/>
  <c r="O33" i="1"/>
  <c r="N33" i="1"/>
  <c r="M33" i="1"/>
  <c r="G33" i="1"/>
  <c r="I33" i="1" s="1"/>
  <c r="AJ32" i="1"/>
  <c r="AI32" i="1"/>
  <c r="AF32" i="1"/>
  <c r="AE32" i="1"/>
  <c r="I32" i="1"/>
  <c r="G32" i="1"/>
  <c r="N31" i="1"/>
  <c r="O31" i="1" s="1"/>
  <c r="M31" i="1"/>
  <c r="G31" i="1"/>
  <c r="I31" i="1" s="1"/>
  <c r="I30" i="1"/>
  <c r="G30" i="1"/>
  <c r="M29" i="1"/>
  <c r="N29" i="1" s="1"/>
  <c r="O29" i="1" s="1"/>
  <c r="I29" i="1"/>
  <c r="G29" i="1"/>
  <c r="I28" i="1"/>
  <c r="G28" i="1"/>
  <c r="G27" i="1"/>
  <c r="I27" i="1" s="1"/>
  <c r="AJ26" i="1"/>
  <c r="AI26" i="1"/>
  <c r="M26" i="1"/>
  <c r="N26" i="1" s="1"/>
  <c r="O26" i="1" s="1"/>
  <c r="I26" i="1"/>
  <c r="G26" i="1"/>
  <c r="AI25" i="1"/>
  <c r="AJ25" i="1" s="1"/>
  <c r="AF25" i="1"/>
  <c r="AE25" i="1"/>
  <c r="G25" i="1"/>
  <c r="I25" i="1" s="1"/>
  <c r="O24" i="1"/>
  <c r="N24" i="1"/>
  <c r="M24" i="1"/>
  <c r="G24" i="1"/>
  <c r="I24" i="1" s="1"/>
  <c r="M23" i="1"/>
  <c r="N23" i="1" s="1"/>
  <c r="O23" i="1" s="1"/>
  <c r="I23" i="1"/>
  <c r="G23" i="1"/>
  <c r="R22" i="1"/>
  <c r="S22" i="1" s="1"/>
  <c r="T22" i="1" s="1"/>
  <c r="I22" i="1"/>
  <c r="G22" i="1"/>
  <c r="I21" i="1"/>
  <c r="G21" i="1"/>
  <c r="G20" i="1"/>
  <c r="I20" i="1" s="1"/>
  <c r="AJ19" i="1"/>
  <c r="AI19" i="1"/>
  <c r="M19" i="1"/>
  <c r="N19" i="1" s="1"/>
  <c r="O19" i="1" s="1"/>
  <c r="I19" i="1"/>
  <c r="G19" i="1"/>
  <c r="W18" i="1"/>
  <c r="X18" i="1" s="1"/>
  <c r="O18" i="1"/>
  <c r="N18" i="1"/>
  <c r="M18" i="1"/>
  <c r="I18" i="1"/>
  <c r="G18" i="1"/>
  <c r="R17" i="1"/>
  <c r="S17" i="1" s="1"/>
  <c r="T17" i="1" s="1"/>
  <c r="I17" i="1"/>
  <c r="G17" i="1"/>
  <c r="T16" i="1"/>
  <c r="I16" i="1"/>
  <c r="G16" i="1"/>
  <c r="R15" i="1"/>
  <c r="S15" i="1" s="1"/>
  <c r="T15" i="1" s="1"/>
  <c r="I15" i="1"/>
  <c r="G15" i="1"/>
  <c r="AI14" i="1"/>
  <c r="AJ14" i="1" s="1"/>
  <c r="X14" i="1"/>
  <c r="W14" i="1"/>
  <c r="M14" i="1"/>
  <c r="N14" i="1" s="1"/>
  <c r="O14" i="1" s="1"/>
  <c r="I14" i="1"/>
  <c r="G14" i="1"/>
  <c r="AF13" i="1"/>
  <c r="AE13" i="1"/>
  <c r="G13" i="1"/>
  <c r="I13" i="1" s="1"/>
  <c r="O12" i="1"/>
  <c r="N12" i="1"/>
  <c r="M12" i="1"/>
  <c r="G12" i="1"/>
  <c r="I12" i="1" s="1"/>
  <c r="I11" i="1"/>
  <c r="G11" i="1"/>
  <c r="M10" i="1"/>
  <c r="N10" i="1" s="1"/>
  <c r="O10" i="1" s="1"/>
  <c r="I10" i="1"/>
  <c r="G10" i="1"/>
  <c r="T9" i="1"/>
  <c r="S9" i="1"/>
  <c r="R9" i="1"/>
  <c r="G9" i="1"/>
  <c r="I9" i="1" s="1"/>
  <c r="T8" i="1"/>
  <c r="I8" i="1"/>
  <c r="G8" i="1"/>
  <c r="T7" i="1"/>
  <c r="S7" i="1"/>
  <c r="R7" i="1"/>
  <c r="G7" i="1"/>
  <c r="I7" i="1" s="1"/>
  <c r="AF6" i="1"/>
  <c r="AE6" i="1"/>
  <c r="AA6" i="1"/>
  <c r="AB6" i="1" s="1"/>
  <c r="X6" i="1"/>
  <c r="W6" i="1"/>
  <c r="G6" i="1"/>
  <c r="I6" i="1" s="1"/>
  <c r="O5" i="1"/>
  <c r="N5" i="1"/>
  <c r="M5" i="1"/>
  <c r="I5" i="1"/>
  <c r="G5" i="1"/>
  <c r="I4" i="1"/>
  <c r="G4" i="1"/>
  <c r="O3" i="1"/>
  <c r="N3" i="1"/>
  <c r="M3" i="1"/>
  <c r="G3" i="1"/>
  <c r="I3" i="1" s="1"/>
  <c r="T2" i="1"/>
  <c r="S2" i="1"/>
  <c r="R2" i="1"/>
  <c r="G2" i="1"/>
  <c r="I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K47" authorId="0" shapeId="0" xr:uid="{B96B705C-AE6F-E44D-9432-72F588A8B01A}">
      <text>
        <r>
          <rPr>
            <sz val="8"/>
            <color indexed="81"/>
            <rFont val="Tahoma"/>
            <family val="2"/>
          </rPr>
          <t>/5!\(b) 3 qa</t>
        </r>
      </text>
    </comment>
    <comment ref="A70" authorId="0" shapeId="0" xr:uid="{03A3C57E-5A47-9B47-B22D-EB8C0C1A1D0E}">
      <text>
        <r>
          <rPr>
            <sz val="8"/>
            <color indexed="81"/>
            <rFont val="Tahoma"/>
            <family val="2"/>
          </rPr>
          <t>No. -304. This diary was redated by Koch to -367.
Cf. J. Koch, "Zu einigen astronomischen Diaries", AfO 38/39 (1991/2) 101-9, esp. 103-7.</t>
        </r>
      </text>
    </comment>
    <comment ref="U75" authorId="0" shapeId="0" xr:uid="{BB370ABA-2FEC-7646-9333-A859872E6602}">
      <text>
        <r>
          <rPr>
            <sz val="8"/>
            <color indexed="81"/>
            <rFont val="Tahoma"/>
            <family val="2"/>
          </rPr>
          <t>Var.: 270.</t>
        </r>
      </text>
    </comment>
    <comment ref="Y102" authorId="0" shapeId="0" xr:uid="{2F2A9508-DE29-2545-A75E-783A5299B324}">
      <text>
        <r>
          <rPr>
            <sz val="8"/>
            <color indexed="81"/>
            <rFont val="Tahoma"/>
            <family val="2"/>
          </rPr>
          <t xml:space="preserve">commodity and part of month lost. </t>
        </r>
      </text>
    </comment>
    <comment ref="U105" authorId="0" shapeId="0" xr:uid="{AC68EB56-F48D-3848-8702-44805EF5A595}">
      <text>
        <r>
          <rPr>
            <sz val="8"/>
            <color indexed="81"/>
            <rFont val="Tahoma"/>
            <family val="2"/>
          </rPr>
          <t>/5!?\(g)+[..]</t>
        </r>
      </text>
    </comment>
    <comment ref="U107" authorId="0" shapeId="0" xr:uid="{0F540661-0FD8-A047-9F7E-81C74A70E787}">
      <text>
        <r>
          <rPr>
            <sz val="8"/>
            <color indexed="81"/>
            <rFont val="Tahoma"/>
            <family val="2"/>
          </rPr>
          <t>5(g)/2(p) 2(b)?</t>
        </r>
      </text>
    </comment>
    <comment ref="K115" authorId="0" shapeId="0" xr:uid="{F5B8492D-AB72-3843-A63E-187BFC4393C8}">
      <text>
        <r>
          <rPr>
            <sz val="8"/>
            <color indexed="81"/>
            <rFont val="Tahoma"/>
            <family val="2"/>
          </rPr>
          <t>var.: 150</t>
        </r>
      </text>
    </comment>
    <comment ref="P126" authorId="0" shapeId="0" xr:uid="{5D2A84BA-0E8A-6E4A-9C75-EBA9DC84C0BE}">
      <text>
        <r>
          <rPr>
            <sz val="8"/>
            <color indexed="81"/>
            <rFont val="Tahoma"/>
            <family val="2"/>
          </rPr>
          <t>New dates</t>
        </r>
      </text>
    </comment>
    <comment ref="P127" authorId="0" shapeId="0" xr:uid="{3B3A01B1-9D72-DB44-9F9B-6855CE4C09FF}">
      <text>
        <r>
          <rPr>
            <sz val="8"/>
            <color indexed="81"/>
            <rFont val="Tahoma"/>
            <family val="2"/>
          </rPr>
          <t>It is understandable that the prices fall, when the new harvest arrives. It is difficult to understand that the price of old dates is higher than the new dates that appeared earlier on the market.</t>
        </r>
      </text>
    </comment>
    <comment ref="P128" authorId="0" shapeId="0" xr:uid="{6E562A70-3C12-B945-B316-3C03DBE8ABF9}">
      <text>
        <r>
          <rPr>
            <sz val="8"/>
            <color indexed="81"/>
            <rFont val="Tahoma"/>
            <family val="2"/>
          </rPr>
          <t>New dates. The number is a guess on the basis of the fall in price of the old dates.</t>
        </r>
      </text>
    </comment>
    <comment ref="K178" authorId="0" shapeId="0" xr:uid="{1001775B-1C84-7841-B9FA-272A65AE090D}">
      <text>
        <r>
          <rPr>
            <sz val="8"/>
            <color indexed="81"/>
            <rFont val="Tahoma"/>
            <family val="2"/>
          </rPr>
          <t>Diadochi Chronicle, ABC 10,  rev. '31 = BCHP 3 rev. '29. Cf. http://www.livius.org &gt; ancient Mesopotamia. The chronicle gives it as the price of "that year". Possible the highest recorded price was intended.</t>
        </r>
      </text>
    </comment>
    <comment ref="K184" authorId="0" shapeId="0" xr:uid="{31719E7B-4C1D-9441-97CF-EE617CA15789}">
      <text>
        <r>
          <rPr>
            <sz val="8"/>
            <color indexed="81"/>
            <rFont val="Tahoma"/>
            <family val="2"/>
          </rPr>
          <t>The Diadochi chronicles gives 6 litres for an unknown month prior to month V. Cf BCHP 3 rev. 33'. This number deviates lightly from the number given in the astronomical diaries. Cf. http://www.livius.org &gt; ancient Mesopotamia.</t>
        </r>
      </text>
    </comment>
    <comment ref="K188" authorId="0" shapeId="0" xr:uid="{0362EE32-B9AE-E240-9130-7A8CBA1FE4E8}">
      <text>
        <r>
          <rPr>
            <sz val="8"/>
            <color indexed="81"/>
            <rFont val="Tahoma"/>
            <family val="2"/>
          </rPr>
          <t>New barley</t>
        </r>
      </text>
    </comment>
    <comment ref="K313" authorId="0" shapeId="0" xr:uid="{2CE55798-F4D8-624F-89DF-076584C8ABDE}">
      <text>
        <r>
          <rPr>
            <sz val="8"/>
            <color indexed="81"/>
            <rFont val="Tahoma"/>
            <family val="2"/>
          </rPr>
          <t xml:space="preserve">It is uncertain if it concerns barley. </t>
        </r>
      </text>
    </comment>
    <comment ref="K325" authorId="0" shapeId="0" xr:uid="{D5FCB7C2-E94B-CF4C-858A-D8331FD42C00}">
      <text>
        <r>
          <rPr>
            <sz val="8"/>
            <color indexed="81"/>
            <rFont val="Tahoma"/>
            <family val="2"/>
          </rPr>
          <t>"measured by the reduced sutu measure"</t>
        </r>
      </text>
    </comment>
    <comment ref="K345" authorId="0" shapeId="0" xr:uid="{84C3950A-65AA-9F4A-ACC5-77D96B7517DA}">
      <text>
        <r>
          <rPr>
            <sz val="8"/>
            <color indexed="81"/>
            <rFont val="Tahoma"/>
            <family val="2"/>
          </rPr>
          <t>It is uncertain if it concerns barley or dates</t>
        </r>
      </text>
    </comment>
    <comment ref="C522" authorId="0" shapeId="0" xr:uid="{97DA5804-EE44-3540-B0ED-A72A4E87A157}">
      <text>
        <r>
          <rPr>
            <sz val="8"/>
            <color indexed="81"/>
            <rFont val="Tahoma"/>
            <family val="2"/>
          </rPr>
          <t>"Until the end of the month". First occurrence.</t>
        </r>
      </text>
    </comment>
    <comment ref="C526" authorId="0" shapeId="0" xr:uid="{360CE949-EEB1-3242-88B9-6A26C7925292}">
      <text>
        <r>
          <rPr>
            <sz val="8"/>
            <color indexed="81"/>
            <rFont val="Tahoma"/>
            <family val="2"/>
          </rPr>
          <t>"until the end of the month"</t>
        </r>
      </text>
    </comment>
    <comment ref="K529" authorId="0" shapeId="0" xr:uid="{E31EB0E2-85AF-664C-AB56-152657A75CB0}">
      <text>
        <r>
          <rPr>
            <sz val="8"/>
            <color indexed="81"/>
            <rFont val="Tahoma"/>
            <family val="2"/>
          </rPr>
          <t>indication of part of month lost: b and/or m?</t>
        </r>
      </text>
    </comment>
    <comment ref="C531" authorId="0" shapeId="0" xr:uid="{1619EAB0-1483-AC40-B5FB-0721E4268685}">
      <text>
        <r>
          <rPr>
            <sz val="8"/>
            <color indexed="81"/>
            <rFont val="Tahoma"/>
            <family val="2"/>
          </rPr>
          <t>"until the end of the month"</t>
        </r>
      </text>
    </comment>
    <comment ref="C538" authorId="0" shapeId="0" xr:uid="{02965698-7FF3-164A-AA39-4D320CA8F17F}">
      <text>
        <r>
          <rPr>
            <sz val="8"/>
            <color indexed="81"/>
            <rFont val="Tahoma"/>
            <family val="2"/>
          </rPr>
          <t>"Until &lt;the end&gt; of the month"</t>
        </r>
      </text>
    </comment>
    <comment ref="C549" authorId="0" shapeId="0" xr:uid="{49CAFD35-DAA6-7044-9E9D-BE7A5A6EEF7D}">
      <text>
        <r>
          <rPr>
            <sz val="8"/>
            <color indexed="81"/>
            <rFont val="Tahoma"/>
            <family val="2"/>
          </rPr>
          <t>"at (ina) the end of the month"</t>
        </r>
      </text>
    </comment>
    <comment ref="C559" authorId="0" shapeId="0" xr:uid="{6D3150C3-A324-D44E-8C1B-90411EBA8CA5}">
      <text>
        <r>
          <rPr>
            <sz val="8"/>
            <color indexed="81"/>
            <rFont val="Tahoma"/>
            <family val="2"/>
          </rPr>
          <t>"at the end of the month"</t>
        </r>
      </text>
    </comment>
    <comment ref="K562" authorId="0" shapeId="0" xr:uid="{7C0EFD83-3EC8-7B42-ABFC-CE5964C1C546}">
      <text>
        <r>
          <rPr>
            <sz val="8"/>
            <color indexed="81"/>
            <rFont val="Tahoma"/>
            <family val="2"/>
          </rPr>
          <t>"very good barley"</t>
        </r>
      </text>
    </comment>
    <comment ref="C565" authorId="0" shapeId="0" xr:uid="{C6A6573E-C506-9541-BB5D-5A3D53BCFC41}">
      <text>
        <r>
          <rPr>
            <sz val="8"/>
            <color indexed="81"/>
            <rFont val="Tahoma"/>
            <family val="2"/>
          </rPr>
          <t>"at the end of the month"</t>
        </r>
      </text>
    </comment>
    <comment ref="C570" authorId="0" shapeId="0" xr:uid="{9265BF65-F400-F54F-9725-3BEB7F3A3A0C}">
      <text>
        <r>
          <rPr>
            <sz val="8"/>
            <color indexed="81"/>
            <rFont val="Tahoma"/>
            <family val="2"/>
          </rPr>
          <t>barley: "at the end"; dates: "until the end"</t>
        </r>
      </text>
    </comment>
    <comment ref="C575" authorId="0" shapeId="0" xr:uid="{D97F70E5-CEC3-8D44-9EE2-B6811A158B39}">
      <text>
        <r>
          <rPr>
            <sz val="8"/>
            <color indexed="81"/>
            <rFont val="Tahoma"/>
            <family val="2"/>
          </rPr>
          <t>"at the end of the month"</t>
        </r>
      </text>
    </comment>
    <comment ref="C579" authorId="0" shapeId="0" xr:uid="{D5C63318-FF86-E44E-9114-509232CDBCB6}">
      <text>
        <r>
          <rPr>
            <sz val="8"/>
            <color indexed="81"/>
            <rFont val="Tahoma"/>
            <family val="2"/>
          </rPr>
          <t>"at the end of the month"</t>
        </r>
      </text>
    </comment>
    <comment ref="C582" authorId="0" shapeId="0" xr:uid="{8C2CF01A-FBB9-7240-8C4E-50D62AFFD93D}">
      <text>
        <r>
          <rPr>
            <sz val="8"/>
            <color indexed="81"/>
            <rFont val="Tahoma"/>
            <family val="2"/>
          </rPr>
          <t>"in the beginning of the month"</t>
        </r>
      </text>
    </comment>
    <comment ref="C583" authorId="0" shapeId="0" xr:uid="{3B0EB6C5-DA5F-724B-B0EB-965C70DE7A13}">
      <text>
        <r>
          <rPr>
            <sz val="8"/>
            <color indexed="81"/>
            <rFont val="Tahoma"/>
            <family val="2"/>
          </rPr>
          <t>"until the middle of the month"</t>
        </r>
      </text>
    </comment>
    <comment ref="C584" authorId="0" shapeId="0" xr:uid="{63A59571-3963-4A42-AD53-20622DD84179}">
      <text>
        <r>
          <rPr>
            <sz val="8"/>
            <color indexed="81"/>
            <rFont val="Tahoma"/>
            <family val="2"/>
          </rPr>
          <t>"until the end of the month"</t>
        </r>
      </text>
    </comment>
    <comment ref="K618" authorId="0" shapeId="0" xr:uid="{9F624996-A241-7947-BD79-596B43E30A93}">
      <text>
        <r>
          <rPr>
            <sz val="8"/>
            <color indexed="81"/>
            <rFont val="Tahoma"/>
            <family val="2"/>
          </rPr>
          <t>barley: "until the middle of the month" must mean here from 1-15 = 9 to 23 april 157</t>
        </r>
      </text>
    </comment>
    <comment ref="K620" authorId="0" shapeId="0" xr:uid="{C1703297-6912-9048-AC44-A634DDD5BFA6}">
      <text>
        <r>
          <rPr>
            <sz val="8"/>
            <color indexed="81"/>
            <rFont val="Tahoma"/>
            <family val="2"/>
          </rPr>
          <t>barley: "until the end of the month" must mean here: 16-30 = 24 April to 8 May 157 BC.</t>
        </r>
      </text>
    </comment>
    <comment ref="C622" authorId="0" shapeId="0" xr:uid="{8303F8E9-014E-044C-ACFB-C895E3787BF0}">
      <text>
        <r>
          <rPr>
            <sz val="8"/>
            <color indexed="81"/>
            <rFont val="Tahoma"/>
            <family val="2"/>
          </rPr>
          <t>No indication of part of the month. Must be beginning.</t>
        </r>
      </text>
    </comment>
    <comment ref="P622" authorId="0" shapeId="0" xr:uid="{4414DA60-A471-7D49-9F1D-5B57C9D4210C}">
      <text>
        <r>
          <rPr>
            <sz val="8"/>
            <color indexed="81"/>
            <rFont val="Tahoma"/>
            <family val="2"/>
          </rPr>
          <t>"old dates". Part of month and price lost.</t>
        </r>
      </text>
    </comment>
    <comment ref="C623" authorId="0" shapeId="0" xr:uid="{18D90494-B73A-7D42-B141-24417E6DFC43}">
      <text>
        <r>
          <rPr>
            <sz val="8"/>
            <color indexed="81"/>
            <rFont val="Tahoma"/>
            <family val="2"/>
          </rPr>
          <t>"in (ina) the middle of the month"</t>
        </r>
      </text>
    </comment>
    <comment ref="C624" authorId="0" shapeId="0" xr:uid="{3F60473F-5284-6949-9622-10AFB8725741}">
      <text>
        <r>
          <rPr>
            <sz val="8"/>
            <color indexed="81"/>
            <rFont val="Tahoma"/>
            <family val="2"/>
          </rPr>
          <t>"until the end of the month"</t>
        </r>
      </text>
    </comment>
    <comment ref="K628" authorId="0" shapeId="0" xr:uid="{52C52B14-0342-904D-A4C8-B7F3AF453FD7}">
      <text>
        <r>
          <rPr>
            <sz val="8"/>
            <color indexed="81"/>
            <rFont val="Tahoma"/>
            <family val="2"/>
          </rPr>
          <t>3(p) 3??(b)[..</t>
        </r>
      </text>
    </comment>
    <comment ref="K638" authorId="0" shapeId="0" xr:uid="{0B10DEDB-C18C-BD40-9380-EDCADA9B7151}">
      <text>
        <r>
          <rPr>
            <sz val="8"/>
            <color indexed="81"/>
            <rFont val="Tahoma"/>
            <family val="2"/>
          </rPr>
          <t>2 (p) 2+?(b) x qa</t>
        </r>
      </text>
    </comment>
    <comment ref="K640" authorId="0" shapeId="0" xr:uid="{30AA89DB-014D-F44D-9A5D-A027D8C5C650}">
      <text>
        <r>
          <rPr>
            <sz val="8"/>
            <color indexed="81"/>
            <rFont val="Tahoma"/>
            <family val="2"/>
          </rPr>
          <t>[2(p) /3?\(b) 3 qa</t>
        </r>
      </text>
    </comment>
    <comment ref="P654" authorId="0" shapeId="0" xr:uid="{9B474C32-43ED-7C4E-B79B-727951E49D34}">
      <text>
        <r>
          <rPr>
            <sz val="8"/>
            <color indexed="81"/>
            <rFont val="Tahoma"/>
            <family val="2"/>
          </rPr>
          <t>Old dates</t>
        </r>
      </text>
    </comment>
    <comment ref="P655" authorId="0" shapeId="0" xr:uid="{37FD9E25-78E3-DB49-BE4E-91DD76B5FAA4}">
      <text>
        <r>
          <rPr>
            <sz val="8"/>
            <color indexed="81"/>
            <rFont val="Tahoma"/>
            <family val="2"/>
          </rPr>
          <t>New dates</t>
        </r>
      </text>
    </comment>
    <comment ref="K657" authorId="0" shapeId="0" xr:uid="{67478791-9520-A942-9EBD-21B86A46FA32}">
      <text>
        <r>
          <rPr>
            <sz val="8"/>
            <color indexed="81"/>
            <rFont val="Tahoma"/>
            <family val="2"/>
          </rPr>
          <t>2!(p) 2?(b); not good barley: 90</t>
        </r>
      </text>
    </comment>
    <comment ref="P657" authorId="0" shapeId="0" xr:uid="{50876445-3ECA-C74D-8C0D-C40689512B3E}">
      <text>
        <r>
          <rPr>
            <sz val="8"/>
            <color indexed="81"/>
            <rFont val="Tahoma"/>
            <family val="2"/>
          </rPr>
          <t>1 GUR 1(p)? 4(b)</t>
        </r>
      </text>
    </comment>
    <comment ref="P669" authorId="0" shapeId="0" xr:uid="{42DEE884-6EF2-6344-9E90-37E51C74AC50}">
      <text>
        <r>
          <rPr>
            <sz val="8"/>
            <color indexed="81"/>
            <rFont val="Tahoma"/>
            <family val="2"/>
          </rPr>
          <t>2 GUR 3 PI [...]</t>
        </r>
      </text>
    </comment>
    <comment ref="P680" authorId="0" shapeId="0" xr:uid="{5F04A5F2-2AFA-5641-82F1-6EBA04A6639A}">
      <text>
        <r>
          <rPr>
            <sz val="8"/>
            <color indexed="81"/>
            <rFont val="Tahoma"/>
            <family val="2"/>
          </rPr>
          <t>new dates</t>
        </r>
      </text>
    </comment>
    <comment ref="C682" authorId="0" shapeId="0" xr:uid="{9C33E1FD-FE14-4543-AF0A-CE2072E51361}">
      <text>
        <r>
          <rPr>
            <sz val="8"/>
            <color indexed="81"/>
            <rFont val="Tahoma"/>
            <family val="2"/>
          </rPr>
          <t>barley: no beginning of month is given; hence "until the middle of the month" is supposed to mean: day 1-15.</t>
        </r>
      </text>
    </comment>
    <comment ref="C684" authorId="0" shapeId="0" xr:uid="{807C8C2A-B892-5F40-961C-78D32123FF56}">
      <text>
        <r>
          <rPr>
            <sz val="8"/>
            <color indexed="81"/>
            <rFont val="Tahoma"/>
            <family val="2"/>
          </rPr>
          <t xml:space="preserve">barley: the month only gives "until the middle" and "until the end" of the month. </t>
        </r>
      </text>
    </comment>
    <comment ref="P687" authorId="0" shapeId="0" xr:uid="{A250B665-29EF-F741-924B-89D2E9452FE3}">
      <text>
        <r>
          <rPr>
            <sz val="8"/>
            <color indexed="81"/>
            <rFont val="Tahoma"/>
            <family val="2"/>
          </rPr>
          <t>var.: 450</t>
        </r>
      </text>
    </comment>
    <comment ref="K688" authorId="0" shapeId="0" xr:uid="{62EF5981-9875-D148-872C-B18D0BC35C22}">
      <text>
        <r>
          <rPr>
            <sz val="8"/>
            <color indexed="81"/>
            <rFont val="Tahoma"/>
            <family val="2"/>
          </rPr>
          <t>not good barley: 126</t>
        </r>
      </text>
    </comment>
    <comment ref="K720" authorId="0" shapeId="0" xr:uid="{23F47707-6336-EC45-9E78-9A5EF403937A}">
      <text>
        <r>
          <rPr>
            <sz val="8"/>
            <color indexed="81"/>
            <rFont val="Tahoma"/>
            <family val="2"/>
          </rPr>
          <t>Or: beginning of month</t>
        </r>
      </text>
    </comment>
    <comment ref="C730" authorId="0" shapeId="0" xr:uid="{8EF8B2F3-2806-D04A-881D-790159BB64BB}">
      <text>
        <r>
          <rPr>
            <sz val="8"/>
            <color indexed="81"/>
            <rFont val="Tahoma"/>
            <family val="2"/>
          </rPr>
          <t>barley: "at the end of the month"</t>
        </r>
      </text>
    </comment>
    <comment ref="K735" authorId="0" shapeId="0" xr:uid="{00FF00A4-1930-BE4D-97F8-CDB42B3AC87D}">
      <text>
        <r>
          <rPr>
            <sz val="8"/>
            <color indexed="81"/>
            <rFont val="Tahoma"/>
            <family val="2"/>
          </rPr>
          <t>part of month lost</t>
        </r>
      </text>
    </comment>
    <comment ref="K736" authorId="0" shapeId="0" xr:uid="{2B3452EB-9282-E14E-AD31-690929F726AA}">
      <text>
        <r>
          <rPr>
            <sz val="8"/>
            <color indexed="81"/>
            <rFont val="Tahoma"/>
            <family val="2"/>
          </rPr>
          <t>"until the middle of the month". Since no beginning is given it probably means 1-15 = 19 Jan. - 2 Febr. 136</t>
        </r>
      </text>
    </comment>
    <comment ref="K738" authorId="0" shapeId="0" xr:uid="{C757BF5E-23F6-5F4D-AA24-23DD9C19D940}">
      <text>
        <r>
          <rPr>
            <sz val="8"/>
            <color indexed="81"/>
            <rFont val="Tahoma"/>
            <family val="2"/>
          </rPr>
          <t>"until the end of the month" = 3 - 16 febr. 136 BC., since the diary only gives "until the middle" and "until the end".</t>
        </r>
      </text>
    </comment>
    <comment ref="K741" authorId="0" shapeId="0" xr:uid="{E50F2923-6BE2-7A44-B233-69D4179BF794}">
      <text>
        <r>
          <rPr>
            <sz val="8"/>
            <color indexed="81"/>
            <rFont val="Tahoma"/>
            <family val="2"/>
          </rPr>
          <t>part of month lost; beginning and/or middle.</t>
        </r>
      </text>
    </comment>
    <comment ref="C750" authorId="0" shapeId="0" xr:uid="{3D220EE5-1572-4D46-A8DB-C2E4E5EC8928}">
      <text>
        <r>
          <rPr>
            <sz val="8"/>
            <color indexed="81"/>
            <rFont val="Tahoma"/>
            <family val="2"/>
          </rPr>
          <t>"in (ina) the middle of the month"</t>
        </r>
      </text>
    </comment>
    <comment ref="C777" authorId="0" shapeId="0" xr:uid="{78A63B34-8913-2244-9E59-82098512A32D}">
      <text>
        <r>
          <rPr>
            <sz val="8"/>
            <color indexed="81"/>
            <rFont val="Tahoma"/>
            <family val="2"/>
          </rPr>
          <t>barley and dates: "in (ina) the beginning of the month".</t>
        </r>
      </text>
    </comment>
    <comment ref="U777" authorId="0" shapeId="0" xr:uid="{5E2DB57B-1774-5D4A-AD60-FCD70B579CED}">
      <text>
        <r>
          <rPr>
            <sz val="8"/>
            <color indexed="81"/>
            <rFont val="Tahoma"/>
            <family val="2"/>
          </rPr>
          <t>part of month unsure. Amount: [nn] GUR 1(p)? 1(b) 3 qa.</t>
        </r>
      </text>
    </comment>
    <comment ref="C779" authorId="0" shapeId="0" xr:uid="{5DB1C7B6-3927-B94F-9F56-7729E2995909}">
      <text>
        <r>
          <rPr>
            <sz val="8"/>
            <color indexed="81"/>
            <rFont val="Tahoma"/>
            <family val="2"/>
          </rPr>
          <t>barley and dates: "until the end of the month"; mustard: "at the end of the month"</t>
        </r>
      </text>
    </comment>
    <comment ref="P781" authorId="0" shapeId="0" xr:uid="{E8E14FC5-00C7-C049-905C-204D9616CC18}">
      <text>
        <r>
          <rPr>
            <sz val="8"/>
            <color indexed="81"/>
            <rFont val="Tahoma"/>
            <family val="2"/>
          </rPr>
          <t>old dates. Part of month unknown.</t>
        </r>
      </text>
    </comment>
    <comment ref="P782" authorId="0" shapeId="0" xr:uid="{8396067E-6A97-C040-9AEA-8D0A5CF9D3C4}">
      <text>
        <r>
          <rPr>
            <sz val="8"/>
            <color indexed="81"/>
            <rFont val="Tahoma"/>
            <family val="2"/>
          </rPr>
          <t>No. -132B:15 new dates</t>
        </r>
      </text>
    </comment>
    <comment ref="P783" authorId="0" shapeId="0" xr:uid="{A1C86FA1-CD0C-4046-AF06-4EB996A4F099}">
      <text>
        <r>
          <rPr>
            <sz val="8"/>
            <color indexed="81"/>
            <rFont val="Tahoma"/>
            <family val="2"/>
          </rPr>
          <t>No. -132 C23: [1 GUR] 4 PI, apparently new dates</t>
        </r>
      </text>
    </comment>
    <comment ref="P784" authorId="0" shapeId="0" xr:uid="{B64F90FB-6E56-6541-B893-42D3A0E5202C}">
      <text>
        <r>
          <rPr>
            <sz val="8"/>
            <color indexed="81"/>
            <rFont val="Tahoma"/>
            <family val="2"/>
          </rPr>
          <t>No. -132 C23 + D1 13: 1 GUR 3(p)/2(b)??\. Apparently new dates.</t>
        </r>
      </text>
    </comment>
    <comment ref="U807" authorId="0" shapeId="0" xr:uid="{7EB47C5E-D2E2-DD49-9159-9389A416D13B}">
      <text>
        <r>
          <rPr>
            <sz val="8"/>
            <color indexed="81"/>
            <rFont val="Tahoma"/>
            <family val="2"/>
          </rPr>
          <t>part of month lost: beginning and/or middle.</t>
        </r>
      </text>
    </comment>
    <comment ref="K817" authorId="0" shapeId="0" xr:uid="{5CE15744-E061-C74B-A502-1D8EADDE4FA3}">
      <text>
        <r>
          <rPr>
            <sz val="8"/>
            <color indexed="81"/>
            <rFont val="Tahoma"/>
            <family val="2"/>
          </rPr>
          <t>Not good barley: 120</t>
        </r>
      </text>
    </comment>
    <comment ref="P830" authorId="0" shapeId="0" xr:uid="{C431F84F-CAF2-8C43-9E04-9A739BC6AC83}">
      <text>
        <r>
          <rPr>
            <sz val="8"/>
            <color indexed="81"/>
            <rFont val="Tahoma"/>
            <family val="2"/>
          </rPr>
          <t>Name of commodity is lost. I choose for dates on the basis of the location in the tablet and the amount of litres.</t>
        </r>
      </text>
    </comment>
    <comment ref="P833" authorId="0" shapeId="0" xr:uid="{A5D13EC8-1886-E942-B841-28F5BB4E3E76}">
      <text>
        <r>
          <rPr>
            <sz val="8"/>
            <color indexed="81"/>
            <rFont val="Tahoma"/>
            <family val="2"/>
          </rPr>
          <t>Name of commodity lost. I prefer dates on the basis of the location of the information on the tablet and the amount of litres</t>
        </r>
      </text>
    </comment>
    <comment ref="K866" authorId="0" shapeId="0" xr:uid="{7C98242C-DAA5-C247-8BA9-2F44C1FAE6A5}">
      <text>
        <r>
          <rPr>
            <sz val="8"/>
            <color indexed="81"/>
            <rFont val="Tahoma"/>
            <family val="2"/>
          </rPr>
          <t>1(p) 2?!(b)</t>
        </r>
      </text>
    </comment>
    <comment ref="U869" authorId="0" shapeId="0" xr:uid="{FF2B7835-5A1D-1A45-A1D4-EDD8584F2A35}">
      <text>
        <r>
          <rPr>
            <sz val="8"/>
            <color indexed="81"/>
            <rFont val="Tahoma"/>
            <family val="2"/>
          </rPr>
          <t>old mustard</t>
        </r>
      </text>
    </comment>
    <comment ref="P870" authorId="0" shapeId="0" xr:uid="{E5ED74C4-7119-4D4F-8C3E-35D0BC681CF7}">
      <text>
        <r>
          <rPr>
            <sz val="8"/>
            <color indexed="81"/>
            <rFont val="Tahoma"/>
            <family val="2"/>
          </rPr>
          <t>dates: the diary only gives "until the middle" and "until the end"of the month. That would imply 1-15 and 16-29 = 13-27 July and 28 July-10 Aug. 125 BC.</t>
        </r>
      </text>
    </comment>
    <comment ref="U871" authorId="0" shapeId="0" xr:uid="{1B1F0ED2-A409-F647-BC60-4E77285702C6}">
      <text>
        <r>
          <rPr>
            <sz val="8"/>
            <color indexed="81"/>
            <rFont val="Tahoma"/>
            <family val="2"/>
          </rPr>
          <t>New mustard</t>
        </r>
      </text>
    </comment>
    <comment ref="K901" authorId="0" shapeId="0" xr:uid="{9294F04B-F885-B04B-9B2A-C3DF16169178}">
      <text>
        <r>
          <rPr>
            <sz val="8"/>
            <color indexed="81"/>
            <rFont val="Tahoma"/>
            <family val="2"/>
          </rPr>
          <t>No traffic due to Arabs</t>
        </r>
      </text>
    </comment>
    <comment ref="K906" authorId="0" shapeId="0" xr:uid="{6E2209F0-469B-284A-B564-E9E0F611DC82}">
      <text>
        <r>
          <rPr>
            <sz val="8"/>
            <color indexed="81"/>
            <rFont val="Tahoma"/>
            <family val="2"/>
          </rPr>
          <t>part of month lost: beginning or middle.</t>
        </r>
      </text>
    </comment>
    <comment ref="U911" authorId="0" shapeId="0" xr:uid="{2929C3B3-97E9-CA4D-AA37-57490ED5FD54}">
      <text>
        <r>
          <rPr>
            <sz val="8"/>
            <color indexed="81"/>
            <rFont val="Tahoma"/>
            <family val="2"/>
          </rPr>
          <t>"until the middle" might also refer to day 1-15.</t>
        </r>
      </text>
    </comment>
    <comment ref="P921" authorId="0" shapeId="0" xr:uid="{A2AEEF30-5403-B441-9924-BB2D9853ADFA}">
      <text>
        <r>
          <rPr>
            <sz val="8"/>
            <color indexed="81"/>
            <rFont val="Tahoma"/>
            <family val="2"/>
          </rPr>
          <t>New dates. End of month?</t>
        </r>
      </text>
    </comment>
    <comment ref="K933" authorId="0" shapeId="0" xr:uid="{B04E6226-A2F2-214E-9862-933D36846CDB}">
      <text>
        <r>
          <rPr>
            <sz val="8"/>
            <color indexed="81"/>
            <rFont val="Tahoma"/>
            <family val="2"/>
          </rPr>
          <t>New barley. Price lost.</t>
        </r>
      </text>
    </comment>
    <comment ref="P939" authorId="0" shapeId="0" xr:uid="{4A9C9136-1B46-C34E-B856-EA488803F5CD}">
      <text>
        <r>
          <rPr>
            <sz val="8"/>
            <color indexed="81"/>
            <rFont val="Tahoma"/>
            <family val="2"/>
          </rPr>
          <t>"until the middle" might imply "from the beginning", hence from 1-15 = 24 May- 7 June 123 BC.</t>
        </r>
      </text>
    </comment>
    <comment ref="P940" authorId="0" shapeId="0" xr:uid="{4C838CCC-9084-B840-84D9-4F1A528A4993}">
      <text>
        <r>
          <rPr>
            <sz val="8"/>
            <color indexed="81"/>
            <rFont val="Tahoma"/>
            <family val="2"/>
          </rPr>
          <t>"until the end" may imply from the middle to the end = day 16-29 = 8-21 June 123 BC.</t>
        </r>
      </text>
    </comment>
    <comment ref="K948" authorId="0" shapeId="0" xr:uid="{195A4C87-FB1F-DD48-8A43-A0D10097AA7A}">
      <text>
        <r>
          <rPr>
            <sz val="8"/>
            <color indexed="81"/>
            <rFont val="Tahoma"/>
            <family val="2"/>
          </rPr>
          <t>old barley (no. -119 B1:7)</t>
        </r>
      </text>
    </comment>
    <comment ref="P950" authorId="0" shapeId="0" xr:uid="{D8CB973C-5B7E-434B-95BE-4BC7430AE6C1}">
      <text>
        <r>
          <rPr>
            <sz val="8"/>
            <color indexed="81"/>
            <rFont val="Tahoma"/>
            <family val="2"/>
          </rPr>
          <t>2!?(p) 2(b) 3 qa</t>
        </r>
      </text>
    </comment>
    <comment ref="K951" authorId="0" shapeId="0" xr:uid="{12AF25BF-7271-F44D-ACF4-5C81E69D9D6B}">
      <text>
        <r>
          <rPr>
            <sz val="8"/>
            <color indexed="81"/>
            <rFont val="Tahoma"/>
            <family val="2"/>
          </rPr>
          <t>New barley from m to e.</t>
        </r>
      </text>
    </comment>
    <comment ref="K952" authorId="0" shapeId="0" xr:uid="{1BF89A06-64CB-4E4C-A59E-CB2D2C7506D6}">
      <text>
        <r>
          <rPr>
            <sz val="8"/>
            <color indexed="81"/>
            <rFont val="Tahoma"/>
            <family val="2"/>
          </rPr>
          <t>No. -119 B1:7 gives 33.5 litres for old barley and 36 litres for new barley. No. -119A2:11 gives 33.5 litres for new barley.</t>
        </r>
      </text>
    </comment>
    <comment ref="C958" authorId="0" shapeId="0" xr:uid="{AF71E7C0-653C-0749-A836-E57DF22B33CE}">
      <text>
        <r>
          <rPr>
            <sz val="8"/>
            <color indexed="81"/>
            <rFont val="Tahoma"/>
            <family val="2"/>
          </rPr>
          <t>Dates: "until the middle" must mean in this context: 1-13 in view of the following "from the 14th to the 20th".</t>
        </r>
      </text>
    </comment>
    <comment ref="P961" authorId="0" shapeId="0" xr:uid="{247BF8F3-F33C-D643-9F8B-A4CD910924C5}">
      <text>
        <r>
          <rPr>
            <sz val="8"/>
            <color indexed="81"/>
            <rFont val="Tahoma"/>
            <family val="2"/>
          </rPr>
          <t>2(p)+/3?(b)\ or: /3(p\? = 108.</t>
        </r>
      </text>
    </comment>
    <comment ref="AC964" authorId="0" shapeId="0" xr:uid="{DF831759-08A6-6A4C-B89F-719A0DB971BC}">
      <text>
        <r>
          <rPr>
            <sz val="8"/>
            <color indexed="81"/>
            <rFont val="Tahoma"/>
            <family val="2"/>
          </rPr>
          <t>part of month unsure. Beginning and/or middle.</t>
        </r>
      </text>
    </comment>
    <comment ref="K979" authorId="0" shapeId="0" xr:uid="{45728E07-D72C-1248-A71E-A2F492F2EFC3}">
      <text>
        <r>
          <rPr>
            <sz val="8"/>
            <color indexed="81"/>
            <rFont val="Tahoma"/>
            <family val="2"/>
          </rPr>
          <t>New barley.</t>
        </r>
      </text>
    </comment>
    <comment ref="Y985" authorId="0" shapeId="0" xr:uid="{7848A669-7994-A748-B59B-647123CB0031}">
      <text>
        <r>
          <rPr>
            <sz val="8"/>
            <color indexed="81"/>
            <rFont val="Tahoma"/>
            <family val="2"/>
          </rPr>
          <t>No. -118 A 16' gives 20 litres for the whol month; no. -118 B 13' 24 litres for the beginning of the month, middle and end are lost. Possibly 20 at the end.</t>
        </r>
      </text>
    </comment>
    <comment ref="P986" authorId="0" shapeId="0" xr:uid="{590487A0-3A4D-504C-87AE-0E6E449CC17D}">
      <text>
        <r>
          <rPr>
            <sz val="8"/>
            <color indexed="81"/>
            <rFont val="Tahoma"/>
            <family val="2"/>
          </rPr>
          <t xml:space="preserve">Old dates. Diary: "until the middle" = 1-15 = 4-18 Oct. 119 BC. </t>
        </r>
      </text>
    </comment>
    <comment ref="P994" authorId="0" shapeId="0" xr:uid="{F393165C-4BFB-D743-BC5A-26F4CFAE3E6B}">
      <text>
        <r>
          <rPr>
            <sz val="8"/>
            <color indexed="81"/>
            <rFont val="Tahoma"/>
            <family val="2"/>
          </rPr>
          <t>"until the end" means here day 16-30 = 19 October - 2 November 119 BC.</t>
        </r>
      </text>
    </comment>
    <comment ref="P995" authorId="0" shapeId="0" xr:uid="{6C89669B-F8DB-2149-8BE7-366C410BF965}">
      <text>
        <r>
          <rPr>
            <sz val="8"/>
            <color indexed="81"/>
            <rFont val="Tahoma"/>
            <family val="2"/>
          </rPr>
          <t>New dates.</t>
        </r>
      </text>
    </comment>
    <comment ref="C1001" authorId="0" shapeId="0" xr:uid="{73BE0AC5-1836-9B47-919F-8595382779F6}">
      <text>
        <r>
          <rPr>
            <sz val="8"/>
            <color indexed="81"/>
            <rFont val="Tahoma"/>
            <family val="2"/>
          </rPr>
          <t>"dates: until the middle of the month" probably implies day 1-15.</t>
        </r>
      </text>
    </comment>
    <comment ref="P1023" authorId="0" shapeId="0" xr:uid="{4866B456-7B31-3F49-BB5D-2519EE15EAE9}">
      <text>
        <r>
          <rPr>
            <sz val="8"/>
            <color indexed="81"/>
            <rFont val="Tahoma"/>
            <family val="2"/>
          </rPr>
          <t>Not good ones</t>
        </r>
      </text>
    </comment>
    <comment ref="K1027" authorId="0" shapeId="0" xr:uid="{58E4B721-FEC0-3041-B1AD-917255B61205}">
      <text>
        <r>
          <rPr>
            <sz val="8"/>
            <color indexed="81"/>
            <rFont val="Tahoma"/>
            <family val="2"/>
          </rPr>
          <t>beginning and/or middle of the month; or day 1-15. Information lost.</t>
        </r>
      </text>
    </comment>
    <comment ref="U1044" authorId="0" shapeId="0" xr:uid="{9A4CA8FC-6367-8040-AB2F-8A4D1D6040FB}">
      <text>
        <r>
          <rPr>
            <sz val="8"/>
            <color indexed="81"/>
            <rFont val="Tahoma"/>
            <family val="2"/>
          </rPr>
          <t>So no. -108 Obv A: 10'; B14 reads: 1 G[UR] /3(p) x(b)\[.. Which allows an amount between 294 and 323 litres.</t>
        </r>
      </text>
    </comment>
    <comment ref="K1069" authorId="0" shapeId="0" xr:uid="{9096817F-D9E0-184A-B799-0D71C7641D97}">
      <text>
        <r>
          <rPr>
            <sz val="8"/>
            <color indexed="81"/>
            <rFont val="Tahoma"/>
            <family val="2"/>
          </rPr>
          <t>part of month lost; before 17th.</t>
        </r>
      </text>
    </comment>
    <comment ref="K1091" authorId="0" shapeId="0" xr:uid="{FC166762-4AD6-124D-AD9A-5CA9E67DEE8C}">
      <text>
        <r>
          <rPr>
            <sz val="8"/>
            <color indexed="81"/>
            <rFont val="Tahoma"/>
            <family val="2"/>
          </rPr>
          <t>Not good: 31.5 l.</t>
        </r>
      </text>
    </comment>
    <comment ref="P1107" authorId="0" shapeId="0" xr:uid="{B8E7D93F-F3AC-284D-90DC-29E2AD0A0416}">
      <text>
        <r>
          <rPr>
            <sz val="8"/>
            <color indexed="81"/>
            <rFont val="Tahoma"/>
            <family val="2"/>
          </rPr>
          <t>dates: only "until the middle"and "until the end"given. So the price may be valid from day 1-15 = 17 April - 1 may 106 BC.</t>
        </r>
      </text>
    </comment>
    <comment ref="K1118" authorId="0" shapeId="0" xr:uid="{6CE12EA3-7FA8-BA40-83A2-880C85492470}">
      <text>
        <r>
          <rPr>
            <sz val="8"/>
            <color indexed="81"/>
            <rFont val="Tahoma"/>
            <family val="2"/>
          </rPr>
          <t xml:space="preserve">Var.: 75
</t>
        </r>
      </text>
    </comment>
    <comment ref="K1119" authorId="0" shapeId="0" xr:uid="{B23D270C-CA94-6041-80BE-9AA7D0DE0627}">
      <text>
        <r>
          <rPr>
            <sz val="8"/>
            <color indexed="81"/>
            <rFont val="Tahoma"/>
            <family val="2"/>
          </rPr>
          <t>var: 72</t>
        </r>
      </text>
    </comment>
    <comment ref="K1120" authorId="0" shapeId="0" xr:uid="{8ED5D5D8-0AA0-C44F-9C0C-51857DBA1971}">
      <text>
        <r>
          <rPr>
            <sz val="8"/>
            <color indexed="81"/>
            <rFont val="Tahoma"/>
            <family val="2"/>
          </rPr>
          <t>new barley</t>
        </r>
      </text>
    </comment>
    <comment ref="Y1121" authorId="0" shapeId="0" xr:uid="{9AFA7F92-FB40-814C-A2E4-473C71570D32}">
      <text>
        <r>
          <rPr>
            <sz val="8"/>
            <color indexed="81"/>
            <rFont val="Tahoma"/>
            <family val="2"/>
          </rPr>
          <t>New</t>
        </r>
      </text>
    </comment>
    <comment ref="Y1122" authorId="0" shapeId="0" xr:uid="{E5254706-2C2A-1B41-82CE-EDE681D1843B}">
      <text>
        <r>
          <rPr>
            <sz val="8"/>
            <color indexed="81"/>
            <rFont val="Tahoma"/>
            <family val="2"/>
          </rPr>
          <t>New.</t>
        </r>
      </text>
    </comment>
    <comment ref="K1132" authorId="0" shapeId="0" xr:uid="{C3371ADD-ACD0-0F49-AECB-9EE24A272EF1}">
      <text>
        <r>
          <rPr>
            <sz val="8"/>
            <color indexed="81"/>
            <rFont val="Tahoma"/>
            <family val="2"/>
          </rPr>
          <t>Part of month unknown.</t>
        </r>
      </text>
    </comment>
    <comment ref="P1159" authorId="0" shapeId="0" xr:uid="{D61DC6C4-4A72-404E-8E92-3580FE9DC82D}">
      <text>
        <r>
          <rPr>
            <sz val="8"/>
            <color indexed="81"/>
            <rFont val="Tahoma"/>
            <family val="2"/>
          </rPr>
          <t>New dates.</t>
        </r>
      </text>
    </comment>
    <comment ref="K1160" authorId="0" shapeId="0" xr:uid="{F6321B9B-AD9A-374E-8F66-00C8445B2ADF}">
      <text>
        <r>
          <rPr>
            <sz val="8"/>
            <color indexed="81"/>
            <rFont val="Tahoma"/>
            <family val="2"/>
          </rPr>
          <t>Very good barley.</t>
        </r>
      </text>
    </comment>
    <comment ref="K1176" authorId="0" shapeId="0" xr:uid="{2964E0E7-E087-0C42-8684-14CF130DC625}">
      <text>
        <r>
          <rPr>
            <sz val="8"/>
            <color indexed="81"/>
            <rFont val="Tahoma"/>
            <family val="2"/>
          </rPr>
          <t xml:space="preserve">It is uncertain whether barley or dates are concerned. </t>
        </r>
      </text>
    </comment>
    <comment ref="P1180" authorId="0" shapeId="0" xr:uid="{41046D8C-BFFD-E94D-81B4-438B48299299}">
      <text>
        <r>
          <rPr>
            <sz val="8"/>
            <color indexed="81"/>
            <rFont val="Tahoma"/>
            <family val="2"/>
          </rPr>
          <t>Name of commodity lost. On the basis of the price and the location on the tablets dates are indicated.</t>
        </r>
      </text>
    </comment>
    <comment ref="P1186" authorId="0" shapeId="0" xr:uid="{9780E996-55B3-4244-96A0-B45E9FA65F2B}">
      <text>
        <r>
          <rPr>
            <sz val="8"/>
            <color indexed="81"/>
            <rFont val="Tahoma"/>
            <family val="2"/>
          </rPr>
          <t>1(p) 3!?(b); so Vargyas.</t>
        </r>
      </text>
    </comment>
    <comment ref="K1197" authorId="0" shapeId="0" xr:uid="{1FA5F841-026F-DE47-8DB8-AB1D92C9A315}">
      <text>
        <r>
          <rPr>
            <sz val="8"/>
            <color indexed="81"/>
            <rFont val="Tahoma"/>
            <family val="2"/>
          </rPr>
          <t>1(p) 2+(b)[..</t>
        </r>
      </text>
    </comment>
    <comment ref="K1216" authorId="0" shapeId="0" xr:uid="{A666959F-BC1A-E849-B641-40D521D4D0F9}">
      <text>
        <r>
          <rPr>
            <sz val="8"/>
            <color indexed="81"/>
            <rFont val="Tahoma"/>
            <family val="2"/>
          </rPr>
          <t>New barley.</t>
        </r>
      </text>
    </comment>
    <comment ref="K1220" authorId="0" shapeId="0" xr:uid="{C0C362E8-BA86-3E49-8D37-B3EA7F68AE95}">
      <text>
        <r>
          <rPr>
            <sz val="8"/>
            <color indexed="81"/>
            <rFont val="Tahoma"/>
            <family val="2"/>
          </rPr>
          <t>Not good barley: 135 l.</t>
        </r>
      </text>
    </comment>
    <comment ref="K1222" authorId="0" shapeId="0" xr:uid="{95C919DD-70BE-7F4F-96B5-B57377801F60}">
      <text>
        <r>
          <rPr>
            <sz val="8"/>
            <color indexed="81"/>
            <rFont val="Tahoma"/>
            <family val="2"/>
          </rPr>
          <t>part of month lost. Beginning and/or middle; or "until the middle" from the beginning.</t>
        </r>
      </text>
    </comment>
    <comment ref="K1227" authorId="0" shapeId="0" xr:uid="{62B68F02-8854-2448-A616-572E10C85939}">
      <text>
        <r>
          <rPr>
            <sz val="8"/>
            <color indexed="81"/>
            <rFont val="Tahoma"/>
            <family val="2"/>
          </rPr>
          <t>Price in adm. Document CT 49, 150:8 = Van der Spek 1998, no. 13. Barley bought between 11.XI-11.XII.</t>
        </r>
      </text>
    </comment>
    <comment ref="K1229" authorId="0" shapeId="0" xr:uid="{CE41BDB1-9781-8A49-BD1A-7A33381F0047}">
      <text>
        <r>
          <rPr>
            <sz val="8"/>
            <color indexed="81"/>
            <rFont val="Tahoma"/>
            <family val="2"/>
          </rPr>
          <t>Price in adm. document BRM 1, 88:5 = Van der Spek 1998, nr. 18. (barley bought between 12.XII - 11.XIIB.</t>
        </r>
      </text>
    </comment>
    <comment ref="AC1235" authorId="0" shapeId="0" xr:uid="{86336D32-6C9B-814C-93EF-F7B385CE2DF2}">
      <text>
        <r>
          <rPr>
            <sz val="8"/>
            <color indexed="81"/>
            <rFont val="Tahoma"/>
            <family val="2"/>
          </rPr>
          <t xml:space="preserve">part of month lost. Before "end of month". Number also partly lost: [.... q]a 4-? mi-$il 4-?. </t>
        </r>
      </text>
    </comment>
    <comment ref="P1249" authorId="0" shapeId="0" xr:uid="{7FFA180D-C87C-2045-A7AA-1E5A4054FAF0}">
      <text>
        <r>
          <rPr>
            <sz val="8"/>
            <color indexed="81"/>
            <rFont val="Tahoma"/>
            <family val="2"/>
          </rPr>
          <t>in the morning</t>
        </r>
      </text>
    </comment>
    <comment ref="P1250" authorId="0" shapeId="0" xr:uid="{F23FAAD4-6058-1E40-A4E0-F28A2231636E}">
      <text>
        <r>
          <rPr>
            <sz val="8"/>
            <color indexed="81"/>
            <rFont val="Tahoma"/>
            <family val="2"/>
          </rPr>
          <t>In the afternoon.</t>
        </r>
      </text>
    </comment>
    <comment ref="K1324" authorId="0" shapeId="0" xr:uid="{60503C63-D45F-0F45-AF48-D4602BA3F882}">
      <text>
        <r>
          <rPr>
            <sz val="8"/>
            <color indexed="81"/>
            <rFont val="Tahoma"/>
            <family val="2"/>
          </rPr>
          <t>barley .. 1] PI 4 qa</t>
        </r>
      </text>
    </comment>
    <comment ref="P1330" authorId="0" shapeId="0" xr:uid="{F531F8EF-824B-A74D-A696-D4F6B0C94220}">
      <text>
        <r>
          <rPr>
            <sz val="8"/>
            <color indexed="81"/>
            <rFont val="Tahoma"/>
            <family val="2"/>
          </rPr>
          <t>New dates.</t>
        </r>
      </text>
    </comment>
    <comment ref="K1342" authorId="0" shapeId="0" xr:uid="{7D1B5CF5-39E4-3840-8D8C-6DE079C85E73}">
      <text>
        <r>
          <rPr>
            <sz val="8"/>
            <color indexed="81"/>
            <rFont val="Tahoma"/>
            <family val="2"/>
          </rPr>
          <t>Price of old barley. New [barley] is mentioned, but price is lost. The name of the commodity is lost, but the barley harvest normally comes in may.</t>
        </r>
      </text>
    </comment>
    <comment ref="P1367" authorId="0" shapeId="0" xr:uid="{492C5F1C-ECE7-1749-ABCF-8D3155EB1429}">
      <text>
        <r>
          <rPr>
            <sz val="8"/>
            <color indexed="81"/>
            <rFont val="Tahoma"/>
            <family val="2"/>
          </rPr>
          <t>Name of commodity lost, but it must concern dates. No. -85C2 rev. 17: Hunger reads: [... P]I? 4 1/2 qa. I suggest: [1(p) /1(b)\ 4 1/2 qa in view of traces and context.</t>
        </r>
      </text>
    </comment>
    <comment ref="K1393" authorId="0" shapeId="0" xr:uid="{CC3A2097-0F99-5643-85B4-AEC109B0E7B8}">
      <text>
        <r>
          <rPr>
            <sz val="8"/>
            <color indexed="81"/>
            <rFont val="Tahoma"/>
            <family val="2"/>
          </rPr>
          <t>[Supply of barley] in arrears. Barley "on the way" 3 1/2 l. No. -82 A Obv. 15.</t>
        </r>
      </text>
    </comment>
    <comment ref="K1400" authorId="0" shapeId="0" xr:uid="{32E15E04-FB39-AC4D-B766-73AFB5421624}">
      <text>
        <r>
          <rPr>
            <sz val="8"/>
            <color indexed="81"/>
            <rFont val="Tahoma"/>
            <family val="2"/>
          </rPr>
          <t>Before 23 VII (18 October) there was no supply.</t>
        </r>
      </text>
    </comment>
    <comment ref="K1411" authorId="0" shapeId="0" xr:uid="{7ECC3332-B692-1A46-81A7-8B3F796595C9}">
      <text>
        <r>
          <rPr>
            <sz val="8"/>
            <color indexed="81"/>
            <rFont val="Tahoma"/>
            <family val="2"/>
          </rPr>
          <t>Price "in the afternoon". Price in the morning lost.</t>
        </r>
      </text>
    </comment>
    <comment ref="P1425" authorId="0" shapeId="0" xr:uid="{5777B475-6D7A-A947-8518-2F5C203D5F3A}">
      <text>
        <r>
          <rPr>
            <sz val="8"/>
            <color indexed="81"/>
            <rFont val="Tahoma"/>
            <family val="2"/>
          </rPr>
          <t>No. -79 rev. 7. Hunger reads: [...] 3(p) 1(b)? /3\ qa. I suggest: [... EN TIL IT]U 1(p) 1(b) 3 qa.</t>
        </r>
      </text>
    </comment>
    <comment ref="P1438" authorId="0" shapeId="0" xr:uid="{422D094E-C442-A84F-BEF1-41F270316CF2}">
      <text>
        <r>
          <rPr>
            <sz val="8"/>
            <color indexed="81"/>
            <rFont val="Tahoma"/>
            <family val="2"/>
          </rPr>
          <t>No. -77A rev. 3. Hunger reads 1(p) 3(b)? 1 1/2 qa. I suggest: 1(p) 2(b) 1 1/2 qa.</t>
        </r>
      </text>
    </comment>
    <comment ref="Y1439" authorId="0" shapeId="0" xr:uid="{FC67C99D-2FE7-FC45-B460-B59C4FF5B3BB}">
      <text>
        <r>
          <rPr>
            <sz val="8"/>
            <color indexed="81"/>
            <rFont val="Tahoma"/>
            <family val="2"/>
          </rPr>
          <t>New cress.</t>
        </r>
      </text>
    </comment>
    <comment ref="K1444" authorId="0" shapeId="0" xr:uid="{DFC4D70C-0533-B54E-8D59-C411840E9374}">
      <text>
        <r>
          <rPr>
            <sz val="8"/>
            <color indexed="81"/>
            <rFont val="Tahoma"/>
            <family val="2"/>
          </rPr>
          <t>No. -77 A rev. 2. Hunger reads: 1(p) 3(b)? 1/2 qa. I suggest: 1(p) 2(b) 1/2 qa.</t>
        </r>
      </text>
    </comment>
    <comment ref="P1448" authorId="0" shapeId="0" xr:uid="{D2A31983-096E-5C41-B0F3-C78C746FFA78}">
      <text>
        <r>
          <rPr>
            <sz val="8"/>
            <color indexed="81"/>
            <rFont val="Tahoma"/>
            <family val="2"/>
          </rPr>
          <t>No. -77A rev. 16. Hunger reads: /1(p) x(b)\ 2 1/2 qa. I suggest: /1(p) 2(b)\ 2 1/2 qa.</t>
        </r>
      </text>
    </comment>
    <comment ref="K1482" authorId="0" shapeId="0" xr:uid="{6744B2A8-EC07-6D4D-8813-C78A253C56B5}">
      <text>
        <r>
          <rPr>
            <sz val="8"/>
            <color indexed="81"/>
            <rFont val="Tahoma"/>
            <family val="2"/>
          </rPr>
          <t>New barley. No. -73:14': 2?(p) 1(b) 3 qa. The reading is uncertain. The tablet is badly damaged.</t>
        </r>
      </text>
    </comment>
    <comment ref="K1488" authorId="0" shapeId="0" xr:uid="{B5FC04E9-36BA-D246-8CCE-4309836A0DDB}">
      <text>
        <r>
          <rPr>
            <sz val="8"/>
            <color indexed="81"/>
            <rFont val="Tahoma"/>
            <family val="2"/>
          </rPr>
          <t>No. -62 Obv. 13. Price, if there was any, is lost. The astronomer commets: "There was no [exchange of bar]ley in the streets of Babylon."</t>
        </r>
      </text>
    </comment>
    <comment ref="L1490" authorId="0" shapeId="0" xr:uid="{AC38C49E-98B8-D24A-BF9A-1FF4F5EE355B}">
      <text>
        <r>
          <rPr>
            <sz val="8"/>
            <color indexed="81"/>
            <rFont val="Tahoma"/>
            <family val="2"/>
          </rPr>
          <t>Name of commodity lost. In view of the price and the location on the tablet barley is indicated</t>
        </r>
      </text>
    </comment>
    <comment ref="P1495" authorId="0" shapeId="0" xr:uid="{ED3288E8-CA64-014B-B106-F0D64C7294CE}">
      <text>
        <r>
          <rPr>
            <sz val="8"/>
            <color indexed="81"/>
            <rFont val="Tahoma"/>
            <family val="2"/>
          </rPr>
          <t>Name of commodity is lost. In view of the price and the location on the tablet dates are indicated.</t>
        </r>
      </text>
    </comment>
  </commentList>
</comments>
</file>

<file path=xl/sharedStrings.xml><?xml version="1.0" encoding="utf-8"?>
<sst xmlns="http://schemas.openxmlformats.org/spreadsheetml/2006/main" count="6334" uniqueCount="2917">
  <si>
    <t>YEAR</t>
  </si>
  <si>
    <t>MON</t>
  </si>
  <si>
    <t>PART</t>
  </si>
  <si>
    <t>JULIAN-fr</t>
  </si>
  <si>
    <t>Day</t>
  </si>
  <si>
    <t>Mon</t>
  </si>
  <si>
    <t>Days to previous month</t>
  </si>
  <si>
    <t xml:space="preserve">Year </t>
  </si>
  <si>
    <t>Dec.year</t>
  </si>
  <si>
    <t>JULIAN-to</t>
  </si>
  <si>
    <t>BARLEY</t>
  </si>
  <si>
    <t>Bar-interpretatie</t>
  </si>
  <si>
    <t>Bar-sk/1000 l.</t>
  </si>
  <si>
    <t>Bar-silver (gr.)/1000 l.</t>
  </si>
  <si>
    <t>Bar-silver (gr.)/1000 kg.</t>
  </si>
  <si>
    <t>DATES</t>
  </si>
  <si>
    <t>Dat-interpretatie</t>
  </si>
  <si>
    <t>Dates-sk/1000 l.</t>
  </si>
  <si>
    <t>Dates-gr/1000 l.</t>
  </si>
  <si>
    <t>Dates-gr/1000 kg</t>
  </si>
  <si>
    <t>MUSTARD</t>
  </si>
  <si>
    <t>Mus-interpretatie</t>
  </si>
  <si>
    <t>Mus-sk/1000 l.</t>
  </si>
  <si>
    <t>Mus-silver (gr.)/1000 l.</t>
  </si>
  <si>
    <t>CRESS</t>
  </si>
  <si>
    <t>Cre-interpretatie</t>
  </si>
  <si>
    <t>Cre-sk/1000 l.</t>
  </si>
  <si>
    <t>Cre-silver (gr.)/1000 l.</t>
  </si>
  <si>
    <t>SESAME</t>
  </si>
  <si>
    <t>Ses-interpretatie</t>
  </si>
  <si>
    <t>Ses-sk/1000 l.</t>
  </si>
  <si>
    <t>Ses-silver (gr.)/1000 l.</t>
  </si>
  <si>
    <t>WOOL 0.5 kg p. Shekel</t>
  </si>
  <si>
    <t>Wo-interpretatie</t>
  </si>
  <si>
    <t>sk/mina (=0,5 kg.)</t>
  </si>
  <si>
    <t>Wo-silver (gr.)/0,5 kg.</t>
  </si>
  <si>
    <t>IX</t>
  </si>
  <si>
    <t>2-12-385</t>
  </si>
  <si>
    <t>31-12-385</t>
  </si>
  <si>
    <t>b</t>
  </si>
  <si>
    <t>11-12-385</t>
  </si>
  <si>
    <t>[..]</t>
  </si>
  <si>
    <t>m</t>
  </si>
  <si>
    <t>12-12-385</t>
  </si>
  <si>
    <t>21-12-385</t>
  </si>
  <si>
    <t>e</t>
  </si>
  <si>
    <t>22-12-385</t>
  </si>
  <si>
    <t>II</t>
  </si>
  <si>
    <t>17-5-383</t>
  </si>
  <si>
    <t>15-6-383</t>
  </si>
  <si>
    <t>26-5-383</t>
  </si>
  <si>
    <t>27-5-383</t>
  </si>
  <si>
    <t>5-6-383</t>
  </si>
  <si>
    <t>6-6-383</t>
  </si>
  <si>
    <t xml:space="preserve">I </t>
  </si>
  <si>
    <t>8-4-382</t>
  </si>
  <si>
    <t>17-4-382</t>
  </si>
  <si>
    <t xml:space="preserve"> 32?</t>
  </si>
  <si>
    <t>18-4-382</t>
  </si>
  <si>
    <t>27-4-382</t>
  </si>
  <si>
    <t>I</t>
  </si>
  <si>
    <t>28-4-382</t>
  </si>
  <si>
    <t>6-5-382</t>
  </si>
  <si>
    <t>7-5-382</t>
  </si>
  <si>
    <t>4-6-382</t>
  </si>
  <si>
    <t>III</t>
  </si>
  <si>
    <t>5-6-382</t>
  </si>
  <si>
    <t>4-7-382</t>
  </si>
  <si>
    <t>14-6-382</t>
  </si>
  <si>
    <t>15-6-382</t>
  </si>
  <si>
    <t>24-6-382</t>
  </si>
  <si>
    <t>25-6-382</t>
  </si>
  <si>
    <t>VI</t>
  </si>
  <si>
    <t>1-9-382</t>
  </si>
  <si>
    <t>30-9-382</t>
  </si>
  <si>
    <t>X</t>
  </si>
  <si>
    <t>18-12-381</t>
  </si>
  <si>
    <t>27-12-381</t>
  </si>
  <si>
    <t>28-12-381</t>
  </si>
  <si>
    <t>6-1-380</t>
  </si>
  <si>
    <t>7-1-380</t>
  </si>
  <si>
    <t>3-2-380</t>
  </si>
  <si>
    <t xml:space="preserve"> [..]</t>
  </si>
  <si>
    <t>XI</t>
  </si>
  <si>
    <t>4-2-379</t>
  </si>
  <si>
    <t>13-2-379</t>
  </si>
  <si>
    <t xml:space="preserve"> [..]+1</t>
  </si>
  <si>
    <t>14-2-379</t>
  </si>
  <si>
    <t>23-2-379</t>
  </si>
  <si>
    <t>24-2-379</t>
  </si>
  <si>
    <t>5-3-379</t>
  </si>
  <si>
    <t>VII</t>
  </si>
  <si>
    <t>29-9-379</t>
  </si>
  <si>
    <t>27-10-379</t>
  </si>
  <si>
    <t>VIII</t>
  </si>
  <si>
    <t>28-10-379</t>
  </si>
  <si>
    <t>6-11-379</t>
  </si>
  <si>
    <t>[..]+1</t>
  </si>
  <si>
    <t>7-11-379</t>
  </si>
  <si>
    <t>16-11-379</t>
  </si>
  <si>
    <t>17-11-379</t>
  </si>
  <si>
    <t>26-11-379</t>
  </si>
  <si>
    <t>26-9-376</t>
  </si>
  <si>
    <t>5-10-376</t>
  </si>
  <si>
    <t>60+3?</t>
  </si>
  <si>
    <t>6-10-376</t>
  </si>
  <si>
    <t>15-10-376</t>
  </si>
  <si>
    <t>16-10-376</t>
  </si>
  <si>
    <t>24-10-376</t>
  </si>
  <si>
    <t>72+[..]</t>
  </si>
  <si>
    <t>23-12-376</t>
  </si>
  <si>
    <t>20-1-375</t>
  </si>
  <si>
    <t xml:space="preserve">X   </t>
  </si>
  <si>
    <t>1-1-375</t>
  </si>
  <si>
    <t>2-1-375</t>
  </si>
  <si>
    <t>11-1-375</t>
  </si>
  <si>
    <t>12-1-375</t>
  </si>
  <si>
    <t>21-1-375</t>
  </si>
  <si>
    <t>19-2-375</t>
  </si>
  <si>
    <t>77-79</t>
  </si>
  <si>
    <t xml:space="preserve">VII </t>
  </si>
  <si>
    <t>4-10-374</t>
  </si>
  <si>
    <t>13-10-374</t>
  </si>
  <si>
    <t>14-10-374</t>
  </si>
  <si>
    <t>23-10-374</t>
  </si>
  <si>
    <t>24-10-374</t>
  </si>
  <si>
    <t>1-11-374</t>
  </si>
  <si>
    <t>XII</t>
  </si>
  <si>
    <t>28-2-373</t>
  </si>
  <si>
    <t>28-3-373</t>
  </si>
  <si>
    <t>IV</t>
  </si>
  <si>
    <t>25-6-373</t>
  </si>
  <si>
    <t>23-7-373</t>
  </si>
  <si>
    <t xml:space="preserve"> </t>
  </si>
  <si>
    <t>23-8-373</t>
  </si>
  <si>
    <t>21-9-373</t>
  </si>
  <si>
    <t>54-71</t>
  </si>
  <si>
    <t xml:space="preserve">VI  </t>
  </si>
  <si>
    <t>1-9-373</t>
  </si>
  <si>
    <t>2-9-373</t>
  </si>
  <si>
    <t>11-9-373</t>
  </si>
  <si>
    <t>12-9-373</t>
  </si>
  <si>
    <t>22-9-373</t>
  </si>
  <si>
    <t>20-10-373</t>
  </si>
  <si>
    <t>[..]+4.5</t>
  </si>
  <si>
    <t xml:space="preserve">X </t>
  </si>
  <si>
    <t>19-12-373</t>
  </si>
  <si>
    <t>28-12-373</t>
  </si>
  <si>
    <t>33?</t>
  </si>
  <si>
    <t>29-12-373</t>
  </si>
  <si>
    <t>7-1-372</t>
  </si>
  <si>
    <t>8-1-372</t>
  </si>
  <si>
    <t>17-1-372</t>
  </si>
  <si>
    <t>[24]+4,5</t>
  </si>
  <si>
    <t xml:space="preserve">XI  </t>
  </si>
  <si>
    <t>18-1-372</t>
  </si>
  <si>
    <t>27-1-372</t>
  </si>
  <si>
    <t xml:space="preserve">XI   </t>
  </si>
  <si>
    <t>28-1-372</t>
  </si>
  <si>
    <t>6-2-372</t>
  </si>
  <si>
    <t>7-2-372</t>
  </si>
  <si>
    <t>16-2-372</t>
  </si>
  <si>
    <t>XIIB</t>
  </si>
  <si>
    <t>18-3-372</t>
  </si>
  <si>
    <t>16-4-372</t>
  </si>
  <si>
    <t xml:space="preserve">IV  </t>
  </si>
  <si>
    <t>4-7-371</t>
  </si>
  <si>
    <t>13-7-371</t>
  </si>
  <si>
    <t>14-7-371</t>
  </si>
  <si>
    <t>23-7-371</t>
  </si>
  <si>
    <t>24-7-371</t>
  </si>
  <si>
    <t>1-8-371</t>
  </si>
  <si>
    <t>60-65</t>
  </si>
  <si>
    <t>30-9-371</t>
  </si>
  <si>
    <t>28-10-371</t>
  </si>
  <si>
    <t>9-10-371</t>
  </si>
  <si>
    <t>10-10-371</t>
  </si>
  <si>
    <t>19-10-371</t>
  </si>
  <si>
    <t xml:space="preserve">VII   </t>
  </si>
  <si>
    <t>20-10-371</t>
  </si>
  <si>
    <t>29-10-371</t>
  </si>
  <si>
    <t>27-11-371</t>
  </si>
  <si>
    <t>[n]x180</t>
  </si>
  <si>
    <t>14-2-369</t>
  </si>
  <si>
    <t>13-3-369</t>
  </si>
  <si>
    <t xml:space="preserve">XII </t>
  </si>
  <si>
    <t>14-3-369</t>
  </si>
  <si>
    <t>23-3-369</t>
  </si>
  <si>
    <t>24-3-369</t>
  </si>
  <si>
    <t>2-4-369</t>
  </si>
  <si>
    <t>3-4-369</t>
  </si>
  <si>
    <t>12-4-369</t>
  </si>
  <si>
    <t>12-6-369</t>
  </si>
  <si>
    <t>10-7-369</t>
  </si>
  <si>
    <t>21-6-369</t>
  </si>
  <si>
    <t>22-6-369</t>
  </si>
  <si>
    <t>1-7-369</t>
  </si>
  <si>
    <t>2-7-369</t>
  </si>
  <si>
    <t>78-83</t>
  </si>
  <si>
    <t>II?</t>
  </si>
  <si>
    <t>2-5-368</t>
  </si>
  <si>
    <t>30-5-368</t>
  </si>
  <si>
    <t>21-4-367</t>
  </si>
  <si>
    <t>30-4-367</t>
  </si>
  <si>
    <t>1-5-367</t>
  </si>
  <si>
    <t>10-5-367</t>
  </si>
  <si>
    <t>11-5-367</t>
  </si>
  <si>
    <t>19-5-367</t>
  </si>
  <si>
    <t>36-71</t>
  </si>
  <si>
    <t>20-5-367</t>
  </si>
  <si>
    <t>18-6-367</t>
  </si>
  <si>
    <t>19-7-367</t>
  </si>
  <si>
    <t>17-8-367</t>
  </si>
  <si>
    <t>28-7-367</t>
  </si>
  <si>
    <t>21?</t>
  </si>
  <si>
    <t>29-7-367</t>
  </si>
  <si>
    <t>7-8-367</t>
  </si>
  <si>
    <t>8-8-367</t>
  </si>
  <si>
    <t xml:space="preserve"> 66?</t>
  </si>
  <si>
    <t xml:space="preserve">V   </t>
  </si>
  <si>
    <t>18-8-367</t>
  </si>
  <si>
    <t>15-9-367</t>
  </si>
  <si>
    <t>360?</t>
  </si>
  <si>
    <t>16-9-367</t>
  </si>
  <si>
    <t>15-10-367</t>
  </si>
  <si>
    <t xml:space="preserve"> 36+[..]+1</t>
  </si>
  <si>
    <t>3-12-347</t>
  </si>
  <si>
    <t>1-1-346</t>
  </si>
  <si>
    <t xml:space="preserve">IX  </t>
  </si>
  <si>
    <t>12-12-347</t>
  </si>
  <si>
    <t>13-12-347</t>
  </si>
  <si>
    <t>22-12-347</t>
  </si>
  <si>
    <t xml:space="preserve">IX    </t>
  </si>
  <si>
    <t>23-12-347</t>
  </si>
  <si>
    <t>108?</t>
  </si>
  <si>
    <t>2-1-346</t>
  </si>
  <si>
    <t>30-1-346</t>
  </si>
  <si>
    <t>11-1-346</t>
  </si>
  <si>
    <t>42-47</t>
  </si>
  <si>
    <t>12-1-346</t>
  </si>
  <si>
    <t>21-1-346</t>
  </si>
  <si>
    <t>22-1-346</t>
  </si>
  <si>
    <t>31-1-346</t>
  </si>
  <si>
    <t>1-3-346</t>
  </si>
  <si>
    <t>720?</t>
  </si>
  <si>
    <t>9-2-346</t>
  </si>
  <si>
    <t>10-2-346</t>
  </si>
  <si>
    <t>19-2-346</t>
  </si>
  <si>
    <t>20-2-346</t>
  </si>
  <si>
    <t>2-3-346</t>
  </si>
  <si>
    <t>30-3-346</t>
  </si>
  <si>
    <t>11-3-346</t>
  </si>
  <si>
    <t>12-3-346</t>
  </si>
  <si>
    <t>21-3-346</t>
  </si>
  <si>
    <t>[..]+3</t>
  </si>
  <si>
    <t>22-3-346</t>
  </si>
  <si>
    <t>29-12-344</t>
  </si>
  <si>
    <t>26-1-346</t>
  </si>
  <si>
    <t>42?</t>
  </si>
  <si>
    <t>27-1-343</t>
  </si>
  <si>
    <t>5-2-343</t>
  </si>
  <si>
    <t>6-2-343</t>
  </si>
  <si>
    <t>15-2-343</t>
  </si>
  <si>
    <t>16-2-343</t>
  </si>
  <si>
    <t>25-2-343</t>
  </si>
  <si>
    <t>24-7-343</t>
  </si>
  <si>
    <t>21-8-343</t>
  </si>
  <si>
    <t>249?</t>
  </si>
  <si>
    <t>12-4-339</t>
  </si>
  <si>
    <t>21-4-339</t>
  </si>
  <si>
    <t>72?</t>
  </si>
  <si>
    <t>22-4-339</t>
  </si>
  <si>
    <t>1-5-339</t>
  </si>
  <si>
    <t>2-5-339</t>
  </si>
  <si>
    <t>4-11-339</t>
  </si>
  <si>
    <t>17-5-334</t>
  </si>
  <si>
    <t>14-6-334</t>
  </si>
  <si>
    <t>900+</t>
  </si>
  <si>
    <t>15-7-334</t>
  </si>
  <si>
    <t>12-8-334</t>
  </si>
  <si>
    <t>24-7-334</t>
  </si>
  <si>
    <t>984?</t>
  </si>
  <si>
    <t>25-7-334</t>
  </si>
  <si>
    <t>3-8-334</t>
  </si>
  <si>
    <t>4-8-334</t>
  </si>
  <si>
    <t>V</t>
  </si>
  <si>
    <t>2-8-333</t>
  </si>
  <si>
    <t>31-8-333</t>
  </si>
  <si>
    <t xml:space="preserve">VI </t>
  </si>
  <si>
    <t>1-9-333</t>
  </si>
  <si>
    <t>10-9-333</t>
  </si>
  <si>
    <t>168!</t>
  </si>
  <si>
    <t>11-9-333</t>
  </si>
  <si>
    <t>20-9-333</t>
  </si>
  <si>
    <t>21-9-333</t>
  </si>
  <si>
    <t>29-9-333</t>
  </si>
  <si>
    <t>29-10-333</t>
  </si>
  <si>
    <t>26-11-333</t>
  </si>
  <si>
    <t>7-11-333</t>
  </si>
  <si>
    <t>8-11-333</t>
  </si>
  <si>
    <t>17-11-333</t>
  </si>
  <si>
    <t>150-155</t>
  </si>
  <si>
    <t>18-11-333</t>
  </si>
  <si>
    <t>8-9-331</t>
  </si>
  <si>
    <t>7-10-331</t>
  </si>
  <si>
    <t>17-9-331</t>
  </si>
  <si>
    <t>18-9-331</t>
  </si>
  <si>
    <t>27-9-331</t>
  </si>
  <si>
    <t>28-9-331</t>
  </si>
  <si>
    <t>22-3-330</t>
  </si>
  <si>
    <t>20-4-330</t>
  </si>
  <si>
    <t>72-107</t>
  </si>
  <si>
    <t>16-8-329</t>
  </si>
  <si>
    <t>14-9-330</t>
  </si>
  <si>
    <t>[36]+27</t>
  </si>
  <si>
    <t>15-9-329</t>
  </si>
  <si>
    <t>24-9-329</t>
  </si>
  <si>
    <t>25-9-329</t>
  </si>
  <si>
    <t>4-10-329</t>
  </si>
  <si>
    <t>new dates</t>
  </si>
  <si>
    <t>5-10-329</t>
  </si>
  <si>
    <t>14-10-329</t>
  </si>
  <si>
    <t>54 old</t>
  </si>
  <si>
    <t>new: [81?]</t>
  </si>
  <si>
    <t>13-11-329</t>
  </si>
  <si>
    <t>22-11-329</t>
  </si>
  <si>
    <t>23-11-329</t>
  </si>
  <si>
    <t>2-12-329</t>
  </si>
  <si>
    <t>3-12-329</t>
  </si>
  <si>
    <t>12-12-329</t>
  </si>
  <si>
    <t>84+1?</t>
  </si>
  <si>
    <t>7-4-325</t>
  </si>
  <si>
    <t>5-5-325</t>
  </si>
  <si>
    <t>5-[..]</t>
  </si>
  <si>
    <t>11-4-325</t>
  </si>
  <si>
    <t>20-4-325</t>
  </si>
  <si>
    <t>[..]-24</t>
  </si>
  <si>
    <t>21-4-325</t>
  </si>
  <si>
    <t>30-4-325</t>
  </si>
  <si>
    <t>6-5-325</t>
  </si>
  <si>
    <t>4-6-325</t>
  </si>
  <si>
    <t>[..]+2</t>
  </si>
  <si>
    <t>15-5-325</t>
  </si>
  <si>
    <t>6-7</t>
  </si>
  <si>
    <t>11-5-325</t>
  </si>
  <si>
    <t>12-5-325</t>
  </si>
  <si>
    <t>24-29</t>
  </si>
  <si>
    <t>16-5-325</t>
  </si>
  <si>
    <t>25-5-325</t>
  </si>
  <si>
    <t>26-5-325</t>
  </si>
  <si>
    <t>5-6-325</t>
  </si>
  <si>
    <t>3-7-325</t>
  </si>
  <si>
    <t>16-6-325</t>
  </si>
  <si>
    <t>15-6-325</t>
  </si>
  <si>
    <t>24-5-325</t>
  </si>
  <si>
    <t>25-6-325</t>
  </si>
  <si>
    <t>4-7-325</t>
  </si>
  <si>
    <t>13-7-325</t>
  </si>
  <si>
    <t>14-7-325</t>
  </si>
  <si>
    <t>23-7-325</t>
  </si>
  <si>
    <t>24-7-325</t>
  </si>
  <si>
    <t>2-8-325</t>
  </si>
  <si>
    <t xml:space="preserve">V </t>
  </si>
  <si>
    <t>[1?]-16</t>
  </si>
  <si>
    <t>3-8-325</t>
  </si>
  <si>
    <t>18-8-325</t>
  </si>
  <si>
    <t>17-21</t>
  </si>
  <si>
    <t>19-8-325</t>
  </si>
  <si>
    <t>23-8-325</t>
  </si>
  <si>
    <t>22-[29?]</t>
  </si>
  <si>
    <t>24-8-325</t>
  </si>
  <si>
    <t>31-8-325</t>
  </si>
  <si>
    <t xml:space="preserve">        </t>
  </si>
  <si>
    <t>1-9-325</t>
  </si>
  <si>
    <t>10-9-325</t>
  </si>
  <si>
    <t>36-41</t>
  </si>
  <si>
    <t>11-9-325</t>
  </si>
  <si>
    <t>20-9-325</t>
  </si>
  <si>
    <t>21-9-325</t>
  </si>
  <si>
    <t>14-5-323</t>
  </si>
  <si>
    <t>11-6-323</t>
  </si>
  <si>
    <t xml:space="preserve">III </t>
  </si>
  <si>
    <t>12-6-323</t>
  </si>
  <si>
    <t>21-6-323</t>
  </si>
  <si>
    <t>60!</t>
  </si>
  <si>
    <t>22-6-323</t>
  </si>
  <si>
    <t>1-7-323</t>
  </si>
  <si>
    <t>2-7-323</t>
  </si>
  <si>
    <t>11-7-323</t>
  </si>
  <si>
    <t xml:space="preserve">IX </t>
  </si>
  <si>
    <t>8-12-323</t>
  </si>
  <si>
    <t>5-1-322</t>
  </si>
  <si>
    <t xml:space="preserve">X  </t>
  </si>
  <si>
    <t>6-1-322</t>
  </si>
  <si>
    <t>15-1-322</t>
  </si>
  <si>
    <t>132!-137</t>
  </si>
  <si>
    <t>16-1-322</t>
  </si>
  <si>
    <t>25-1-322</t>
  </si>
  <si>
    <t>26-1-322</t>
  </si>
  <si>
    <t>3-2-322</t>
  </si>
  <si>
    <t>4-2-322</t>
  </si>
  <si>
    <t>4-3-322</t>
  </si>
  <si>
    <t>13-2-322</t>
  </si>
  <si>
    <t>14-2-322</t>
  </si>
  <si>
    <t>23-2-322</t>
  </si>
  <si>
    <t>24-2-322</t>
  </si>
  <si>
    <t>5-3-322</t>
  </si>
  <si>
    <t>3-4-322</t>
  </si>
  <si>
    <t>14-3-322</t>
  </si>
  <si>
    <t>15-3-322</t>
  </si>
  <si>
    <t>24-3-322</t>
  </si>
  <si>
    <t>25-3-322</t>
  </si>
  <si>
    <t>4-4-322</t>
  </si>
  <si>
    <t>3-5-322</t>
  </si>
  <si>
    <t xml:space="preserve">I  </t>
  </si>
  <si>
    <t>13-4-322</t>
  </si>
  <si>
    <t>14-4-322</t>
  </si>
  <si>
    <t>23-4-322</t>
  </si>
  <si>
    <t>24-4-322</t>
  </si>
  <si>
    <t>31-7-322</t>
  </si>
  <si>
    <t>29-8-322</t>
  </si>
  <si>
    <t>30-8-322</t>
  </si>
  <si>
    <t>28-9-322</t>
  </si>
  <si>
    <t>8-9-322</t>
  </si>
  <si>
    <t>9-9-322</t>
  </si>
  <si>
    <t>18-9-322</t>
  </si>
  <si>
    <t>19-9-322</t>
  </si>
  <si>
    <t>22-4-310</t>
  </si>
  <si>
    <t>9-4-309</t>
  </si>
  <si>
    <t>17-8-310</t>
  </si>
  <si>
    <t>15-9-310</t>
  </si>
  <si>
    <t>16-9-310</t>
  </si>
  <si>
    <t>25-9-310</t>
  </si>
  <si>
    <t>26-9-310</t>
  </si>
  <si>
    <t>5-10-310</t>
  </si>
  <si>
    <t>6-10-310</t>
  </si>
  <si>
    <t>14-10-310</t>
  </si>
  <si>
    <t>I-IV</t>
  </si>
  <si>
    <t>10-4-310</t>
  </si>
  <si>
    <t>2-9-310</t>
  </si>
  <si>
    <t>10-4-309</t>
  </si>
  <si>
    <t>9-5-309</t>
  </si>
  <si>
    <t>19-4-309</t>
  </si>
  <si>
    <t>20-4-309</t>
  </si>
  <si>
    <t>29-4-309</t>
  </si>
  <si>
    <t>30-4-309</t>
  </si>
  <si>
    <t>13.5</t>
  </si>
  <si>
    <t>new barley</t>
  </si>
  <si>
    <t>6-8-309</t>
  </si>
  <si>
    <t>3-9-309</t>
  </si>
  <si>
    <t xml:space="preserve"> 4,33?</t>
  </si>
  <si>
    <t>15-08-309</t>
  </si>
  <si>
    <t>16-8-309</t>
  </si>
  <si>
    <t>25-08-309</t>
  </si>
  <si>
    <t>26-8-309</t>
  </si>
  <si>
    <t>4-9-309</t>
  </si>
  <si>
    <t>13-9-309</t>
  </si>
  <si>
    <t xml:space="preserve">VI    </t>
  </si>
  <si>
    <t>14-9-309</t>
  </si>
  <si>
    <t>23-9-309</t>
  </si>
  <si>
    <t>24-9-309</t>
  </si>
  <si>
    <t>3-10-309</t>
  </si>
  <si>
    <t>1-18</t>
  </si>
  <si>
    <t>26-7-308</t>
  </si>
  <si>
    <t>12-8-308</t>
  </si>
  <si>
    <t>19-28</t>
  </si>
  <si>
    <t>13-8-308</t>
  </si>
  <si>
    <t>22-8-308</t>
  </si>
  <si>
    <t>13!</t>
  </si>
  <si>
    <t>15-8-308</t>
  </si>
  <si>
    <t>24-8-398</t>
  </si>
  <si>
    <t>5-10-301</t>
  </si>
  <si>
    <t>3-11-301</t>
  </si>
  <si>
    <t>4-11-301</t>
  </si>
  <si>
    <t>3-12-301</t>
  </si>
  <si>
    <t>1-2-300</t>
  </si>
  <si>
    <t>1-3-300</t>
  </si>
  <si>
    <t>10-2-300</t>
  </si>
  <si>
    <t>11-2-300</t>
  </si>
  <si>
    <t>20-2-300</t>
  </si>
  <si>
    <t>21-2-300</t>
  </si>
  <si>
    <t>5-4-295</t>
  </si>
  <si>
    <t>14-4-295</t>
  </si>
  <si>
    <t>dates: 2 P[I…</t>
  </si>
  <si>
    <t>15-4-295</t>
  </si>
  <si>
    <t>24-4-295</t>
  </si>
  <si>
    <t>25-4-295</t>
  </si>
  <si>
    <t>23-4-295</t>
  </si>
  <si>
    <t>24-4-294</t>
  </si>
  <si>
    <t>3-5-294</t>
  </si>
  <si>
    <t xml:space="preserve"> 8-old</t>
  </si>
  <si>
    <t>4-5-294</t>
  </si>
  <si>
    <t>13-5-294</t>
  </si>
  <si>
    <t>14-5-294</t>
  </si>
  <si>
    <t>23-5-294</t>
  </si>
  <si>
    <t>22-7-294</t>
  </si>
  <si>
    <t>21-8-294</t>
  </si>
  <si>
    <t>31-7-294</t>
  </si>
  <si>
    <t>1-8-294</t>
  </si>
  <si>
    <t>10-8-294</t>
  </si>
  <si>
    <t>11-8-294</t>
  </si>
  <si>
    <t>180-359</t>
  </si>
  <si>
    <t>3-4-292</t>
  </si>
  <si>
    <t>1-5-292</t>
  </si>
  <si>
    <t>2-5-292</t>
  </si>
  <si>
    <t>30-5-292</t>
  </si>
  <si>
    <t xml:space="preserve">II  </t>
  </si>
  <si>
    <t>11-5-292</t>
  </si>
  <si>
    <t>12-5-292</t>
  </si>
  <si>
    <t>21-5-292</t>
  </si>
  <si>
    <t>22-5-292</t>
  </si>
  <si>
    <t>31-5-292</t>
  </si>
  <si>
    <t>29-6-292</t>
  </si>
  <si>
    <t>126?</t>
  </si>
  <si>
    <t>30-6-292</t>
  </si>
  <si>
    <t>28-7-292</t>
  </si>
  <si>
    <t>29-7-292</t>
  </si>
  <si>
    <t>27-8-292</t>
  </si>
  <si>
    <t>10-5-290</t>
  </si>
  <si>
    <t>19-5-290</t>
  </si>
  <si>
    <t>20-5-290</t>
  </si>
  <si>
    <t>29-5-290</t>
  </si>
  <si>
    <t>30-5-290</t>
  </si>
  <si>
    <t>8-6-290</t>
  </si>
  <si>
    <t>8-7-290</t>
  </si>
  <si>
    <t>17-7-290</t>
  </si>
  <si>
    <t>90-107</t>
  </si>
  <si>
    <t>18-7-290</t>
  </si>
  <si>
    <t>27-7-290</t>
  </si>
  <si>
    <t>28-7-290</t>
  </si>
  <si>
    <t>6-8-290</t>
  </si>
  <si>
    <t>7-8-290</t>
  </si>
  <si>
    <t>4-9-290</t>
  </si>
  <si>
    <t>23-9-289</t>
  </si>
  <si>
    <t>22-10-289</t>
  </si>
  <si>
    <t>19-3-288</t>
  </si>
  <si>
    <t>16-4-288</t>
  </si>
  <si>
    <t>(1 kur+)48?</t>
  </si>
  <si>
    <t>17-4-288</t>
  </si>
  <si>
    <t>16-5-288</t>
  </si>
  <si>
    <t>(1 kur +) 42</t>
  </si>
  <si>
    <t>2-9-287</t>
  </si>
  <si>
    <t>1-10-287</t>
  </si>
  <si>
    <t>2-10-287</t>
  </si>
  <si>
    <t>30-10-287</t>
  </si>
  <si>
    <t>120-125</t>
  </si>
  <si>
    <t>9-10-285</t>
  </si>
  <si>
    <t>6-11-285</t>
  </si>
  <si>
    <t>18-10-285</t>
  </si>
  <si>
    <t>1-16</t>
  </si>
  <si>
    <t>24-10-285</t>
  </si>
  <si>
    <t>17-29</t>
  </si>
  <si>
    <t>25-10-285</t>
  </si>
  <si>
    <t>29-10-285</t>
  </si>
  <si>
    <t>6-1-284</t>
  </si>
  <si>
    <t>3-2-284</t>
  </si>
  <si>
    <t>4-2-284</t>
  </si>
  <si>
    <t>5-3-284</t>
  </si>
  <si>
    <t>28-9-284</t>
  </si>
  <si>
    <t>3-10-284</t>
  </si>
  <si>
    <t>[..]+36</t>
  </si>
  <si>
    <t>5-11-282</t>
  </si>
  <si>
    <t>3-12-282</t>
  </si>
  <si>
    <t>[..]+78</t>
  </si>
  <si>
    <t>4-12-282</t>
  </si>
  <si>
    <t>1-1-282</t>
  </si>
  <si>
    <t>2-1-281</t>
  </si>
  <si>
    <t>31-1-281</t>
  </si>
  <si>
    <t>[..]+72</t>
  </si>
  <si>
    <t>1-12-279</t>
  </si>
  <si>
    <t>30-12-279</t>
  </si>
  <si>
    <t xml:space="preserve"> [..]+2</t>
  </si>
  <si>
    <t>31-12-279</t>
  </si>
  <si>
    <t>28-1-278</t>
  </si>
  <si>
    <t>29-1-278</t>
  </si>
  <si>
    <t>28-2-278</t>
  </si>
  <si>
    <t>72 P[I..</t>
  </si>
  <si>
    <t>29-3-278</t>
  </si>
  <si>
    <t>26-4-278</t>
  </si>
  <si>
    <t>27-4-278</t>
  </si>
  <si>
    <t>26-5-278</t>
  </si>
  <si>
    <t>84-89</t>
  </si>
  <si>
    <t>27-5-278</t>
  </si>
  <si>
    <t>24-6-278</t>
  </si>
  <si>
    <t>25-6-278</t>
  </si>
  <si>
    <t>24-7-278</t>
  </si>
  <si>
    <t>25-7-278</t>
  </si>
  <si>
    <t>23-8-278</t>
  </si>
  <si>
    <t>24-8-278</t>
  </si>
  <si>
    <t>22-9-278</t>
  </si>
  <si>
    <t>300 or 264</t>
  </si>
  <si>
    <t>23-9-278</t>
  </si>
  <si>
    <t>21-10-278</t>
  </si>
  <si>
    <t>72/var.: 60</t>
  </si>
  <si>
    <t>22-10-278</t>
  </si>
  <si>
    <t>20-11-278</t>
  </si>
  <si>
    <t>66-71</t>
  </si>
  <si>
    <t>21-11-278</t>
  </si>
  <si>
    <t>19-12-278</t>
  </si>
  <si>
    <t>6-2-276</t>
  </si>
  <si>
    <t>6-3-276</t>
  </si>
  <si>
    <t>15-2-276</t>
  </si>
  <si>
    <t>16-2-276</t>
  </si>
  <si>
    <t>25-2-276</t>
  </si>
  <si>
    <t>26-2-276</t>
  </si>
  <si>
    <t>8-9-274</t>
  </si>
  <si>
    <t>6-10-274</t>
  </si>
  <si>
    <t>7-10-274</t>
  </si>
  <si>
    <t>4-11-274</t>
  </si>
  <si>
    <t>120-small measure</t>
  </si>
  <si>
    <t>5-11-274</t>
  </si>
  <si>
    <t>4-12-274</t>
  </si>
  <si>
    <t xml:space="preserve"> 5?</t>
  </si>
  <si>
    <t>3-2-273</t>
  </si>
  <si>
    <t>2-3-273</t>
  </si>
  <si>
    <t>3-3-273</t>
  </si>
  <si>
    <t>1-4-273</t>
  </si>
  <si>
    <t>5-10-271</t>
  </si>
  <si>
    <t>2-11-271</t>
  </si>
  <si>
    <t>14-10-271</t>
  </si>
  <si>
    <t>15-10-271</t>
  </si>
  <si>
    <t>24-10-271</t>
  </si>
  <si>
    <t>25-10-271</t>
  </si>
  <si>
    <t>1-3-270</t>
  </si>
  <si>
    <t>30-3-270</t>
  </si>
  <si>
    <t>22-7-267</t>
  </si>
  <si>
    <t>20-8-267</t>
  </si>
  <si>
    <t>20-10-267</t>
  </si>
  <si>
    <t>18-11-267</t>
  </si>
  <si>
    <t>29-8-265</t>
  </si>
  <si>
    <t>26-9-265</t>
  </si>
  <si>
    <t>27-9-265</t>
  </si>
  <si>
    <t>27-10-265</t>
  </si>
  <si>
    <t>12+5</t>
  </si>
  <si>
    <t>25-9-262</t>
  </si>
  <si>
    <t>23-10-262</t>
  </si>
  <si>
    <t>24-11-262</t>
  </si>
  <si>
    <t>22-12-262</t>
  </si>
  <si>
    <t>20-3-261</t>
  </si>
  <si>
    <t>18-04-261</t>
  </si>
  <si>
    <t>24 or 30+2</t>
  </si>
  <si>
    <t>14-9-261</t>
  </si>
  <si>
    <t>13-10-261</t>
  </si>
  <si>
    <t>[..]+9</t>
  </si>
  <si>
    <t>30 sk?+[..]</t>
  </si>
  <si>
    <t>30-12-260</t>
  </si>
  <si>
    <t>28-1-259</t>
  </si>
  <si>
    <t>216-251</t>
  </si>
  <si>
    <t>17-4-258</t>
  </si>
  <si>
    <t>26-4-258</t>
  </si>
  <si>
    <t>27-4-258</t>
  </si>
  <si>
    <t>6-5-258</t>
  </si>
  <si>
    <t>7-5-258</t>
  </si>
  <si>
    <t>15-5-258</t>
  </si>
  <si>
    <t>16-5-258</t>
  </si>
  <si>
    <t>13-6-258</t>
  </si>
  <si>
    <t>198-203</t>
  </si>
  <si>
    <t>5-4-257</t>
  </si>
  <si>
    <t>4-5-257</t>
  </si>
  <si>
    <t>3-6-257</t>
  </si>
  <si>
    <t>2-7-257</t>
  </si>
  <si>
    <t>25-1-256</t>
  </si>
  <si>
    <t>23-2-256</t>
  </si>
  <si>
    <t>3-2-256</t>
  </si>
  <si>
    <t>4-2-256</t>
  </si>
  <si>
    <t>13-2-256</t>
  </si>
  <si>
    <t>14-2-256</t>
  </si>
  <si>
    <t>26-3-256</t>
  </si>
  <si>
    <t>23-4-256</t>
  </si>
  <si>
    <t>24-4-256</t>
  </si>
  <si>
    <t>23-5-256</t>
  </si>
  <si>
    <t>3-5-256</t>
  </si>
  <si>
    <t>4-5-256</t>
  </si>
  <si>
    <t>13-5-256</t>
  </si>
  <si>
    <t>14-5-256</t>
  </si>
  <si>
    <t>22-7-256</t>
  </si>
  <si>
    <t>20-8-256</t>
  </si>
  <si>
    <t>21-8-256</t>
  </si>
  <si>
    <t>18-9-256</t>
  </si>
  <si>
    <t>VIB</t>
  </si>
  <si>
    <t>19-9-256</t>
  </si>
  <si>
    <t>17-10-256</t>
  </si>
  <si>
    <t>15?</t>
  </si>
  <si>
    <t>5-12-255</t>
  </si>
  <si>
    <t>3-1-254</t>
  </si>
  <si>
    <t>4-1-254</t>
  </si>
  <si>
    <t>1-2-254</t>
  </si>
  <si>
    <t>27-9-254</t>
  </si>
  <si>
    <t>25-10-254</t>
  </si>
  <si>
    <t>25-11-254</t>
  </si>
  <si>
    <t>23-12-254</t>
  </si>
  <si>
    <t>22-3-253</t>
  </si>
  <si>
    <t>20-4-253</t>
  </si>
  <si>
    <t>31-3-253</t>
  </si>
  <si>
    <t>1-4-253</t>
  </si>
  <si>
    <t>10-4-253</t>
  </si>
  <si>
    <t>11-4-253</t>
  </si>
  <si>
    <t>4-10-252</t>
  </si>
  <si>
    <t>2-11-252</t>
  </si>
  <si>
    <t>13-10-252</t>
  </si>
  <si>
    <t>14-10-252</t>
  </si>
  <si>
    <t>23-10-252</t>
  </si>
  <si>
    <t>24-10-252</t>
  </si>
  <si>
    <t>237?</t>
  </si>
  <si>
    <t>1-3-251</t>
  </si>
  <si>
    <t>30-3-251</t>
  </si>
  <si>
    <t>15-6-250</t>
  </si>
  <si>
    <t>13-8-250</t>
  </si>
  <si>
    <t>14-8-250</t>
  </si>
  <si>
    <t>23-8-250</t>
  </si>
  <si>
    <t>180?</t>
  </si>
  <si>
    <t>24-8-250</t>
  </si>
  <si>
    <t>2-9-250</t>
  </si>
  <si>
    <t>3-9-250</t>
  </si>
  <si>
    <t>11-9-250</t>
  </si>
  <si>
    <t>[..]-p?</t>
  </si>
  <si>
    <t>11-12-250</t>
  </si>
  <si>
    <t>8-1-249</t>
  </si>
  <si>
    <t>9-1-249</t>
  </si>
  <si>
    <t>7-2-249</t>
  </si>
  <si>
    <t>60?</t>
  </si>
  <si>
    <t>8-2-249</t>
  </si>
  <si>
    <t>7-3-249</t>
  </si>
  <si>
    <t>396-431</t>
  </si>
  <si>
    <t>17-2-249</t>
  </si>
  <si>
    <t>18-2-249</t>
  </si>
  <si>
    <t>27-2-249</t>
  </si>
  <si>
    <t>28-2-249</t>
  </si>
  <si>
    <t>8-3-249</t>
  </si>
  <si>
    <t>6-4-249</t>
  </si>
  <si>
    <t>17-3-249</t>
  </si>
  <si>
    <t>18-3-249</t>
  </si>
  <si>
    <t>27-3-249</t>
  </si>
  <si>
    <t>28-3-249</t>
  </si>
  <si>
    <t>[72+]33</t>
  </si>
  <si>
    <t>barley: "in reduced measure"</t>
  </si>
  <si>
    <t>20-9-248</t>
  </si>
  <si>
    <t>19-10-248</t>
  </si>
  <si>
    <t>18-12-248</t>
  </si>
  <si>
    <t>15-1-247</t>
  </si>
  <si>
    <t>16-1-247</t>
  </si>
  <si>
    <t>14-2-247</t>
  </si>
  <si>
    <t>17-3-247</t>
  </si>
  <si>
    <t>26-3-247</t>
  </si>
  <si>
    <t>27-3-247</t>
  </si>
  <si>
    <t>5-4-247</t>
  </si>
  <si>
    <t>6-4-247</t>
  </si>
  <si>
    <t>14-3-247</t>
  </si>
  <si>
    <t>15-4-247</t>
  </si>
  <si>
    <t>14-5-247</t>
  </si>
  <si>
    <t>11-8-247</t>
  </si>
  <si>
    <t>8-9-247</t>
  </si>
  <si>
    <t>20-8-247</t>
  </si>
  <si>
    <t>21-8-247</t>
  </si>
  <si>
    <t>30-8-247</t>
  </si>
  <si>
    <t>31-8-247</t>
  </si>
  <si>
    <t>9-9-247</t>
  </si>
  <si>
    <t>8-10-247</t>
  </si>
  <si>
    <t>4-4-246</t>
  </si>
  <si>
    <t>3-5-246</t>
  </si>
  <si>
    <t>31-7-246</t>
  </si>
  <si>
    <t>29-8-246</t>
  </si>
  <si>
    <t>30-8-246</t>
  </si>
  <si>
    <t>27-9-246</t>
  </si>
  <si>
    <t>21-1-242</t>
  </si>
  <si>
    <t>19-2-242</t>
  </si>
  <si>
    <t>19-5-242</t>
  </si>
  <si>
    <t>17-6-242</t>
  </si>
  <si>
    <t>1-11-241</t>
  </si>
  <si>
    <t>29-11-241</t>
  </si>
  <si>
    <t>10-11-241</t>
  </si>
  <si>
    <t>11-11-241</t>
  </si>
  <si>
    <t>20-11-241</t>
  </si>
  <si>
    <t>21-11-241</t>
  </si>
  <si>
    <t>[..]+21</t>
  </si>
  <si>
    <t>30-11-241</t>
  </si>
  <si>
    <t>29-12-241</t>
  </si>
  <si>
    <t>[36]+33</t>
  </si>
  <si>
    <t>30-12-241</t>
  </si>
  <si>
    <t>28-1-240</t>
  </si>
  <si>
    <t>8-1-240</t>
  </si>
  <si>
    <t>9-1-240</t>
  </si>
  <si>
    <t>18-1-240</t>
  </si>
  <si>
    <t>19-1-240</t>
  </si>
  <si>
    <t>4-6-238</t>
  </si>
  <si>
    <t>3-7-238</t>
  </si>
  <si>
    <t>13-6-238</t>
  </si>
  <si>
    <t>14-6-238</t>
  </si>
  <si>
    <t>23-6-238</t>
  </si>
  <si>
    <t>24-6-238</t>
  </si>
  <si>
    <t xml:space="preserve">135? </t>
  </si>
  <si>
    <t>4-7-238</t>
  </si>
  <si>
    <t>1-8-238</t>
  </si>
  <si>
    <t>240-245</t>
  </si>
  <si>
    <t>2-8-238</t>
  </si>
  <si>
    <t>30-8-238</t>
  </si>
  <si>
    <t>11-8-238</t>
  </si>
  <si>
    <t>12-8-238</t>
  </si>
  <si>
    <t>21-8-238</t>
  </si>
  <si>
    <t>22-8-238</t>
  </si>
  <si>
    <t>27-9-235</t>
  </si>
  <si>
    <t>25-10-238</t>
  </si>
  <si>
    <t>12,5-17,5</t>
  </si>
  <si>
    <t>6-10-235</t>
  </si>
  <si>
    <t>7-10-235</t>
  </si>
  <si>
    <t>16-10-235</t>
  </si>
  <si>
    <t>17-10-235</t>
  </si>
  <si>
    <t>25-10-235</t>
  </si>
  <si>
    <t>36+[..]</t>
  </si>
  <si>
    <t>26-10-235</t>
  </si>
  <si>
    <t>24-11-235</t>
  </si>
  <si>
    <t>25-11-235</t>
  </si>
  <si>
    <t>23-12-235</t>
  </si>
  <si>
    <t xml:space="preserve"> 3?</t>
  </si>
  <si>
    <t>23-1-234</t>
  </si>
  <si>
    <t>20-2-234</t>
  </si>
  <si>
    <t>22-3-234</t>
  </si>
  <si>
    <t>20-4-234</t>
  </si>
  <si>
    <t>4-10-233</t>
  </si>
  <si>
    <t>1-11-233</t>
  </si>
  <si>
    <t>13-10-233</t>
  </si>
  <si>
    <t>14-10-233</t>
  </si>
  <si>
    <t>23-10-233</t>
  </si>
  <si>
    <t>24-10-233</t>
  </si>
  <si>
    <t>2-11-233</t>
  </si>
  <si>
    <t>1-12-233</t>
  </si>
  <si>
    <t>2-12-233</t>
  </si>
  <si>
    <t>31-12-233</t>
  </si>
  <si>
    <t>11-12-233</t>
  </si>
  <si>
    <t>12-12-233</t>
  </si>
  <si>
    <t>21-12-233</t>
  </si>
  <si>
    <t>22-12-233</t>
  </si>
  <si>
    <t>1-1-232</t>
  </si>
  <si>
    <t>29-1-232</t>
  </si>
  <si>
    <t>10-1-232</t>
  </si>
  <si>
    <t>180+[..]</t>
  </si>
  <si>
    <t>11-1-232</t>
  </si>
  <si>
    <t>20-1-232</t>
  </si>
  <si>
    <t>27?</t>
  </si>
  <si>
    <t>21-1-232</t>
  </si>
  <si>
    <t>30-1-232</t>
  </si>
  <si>
    <t>28-2-232</t>
  </si>
  <si>
    <t>1-3-232</t>
  </si>
  <si>
    <t>29-3-232</t>
  </si>
  <si>
    <t>210?</t>
  </si>
  <si>
    <t>18-4-231</t>
  </si>
  <si>
    <t>16-5-231</t>
  </si>
  <si>
    <t>12-9-231</t>
  </si>
  <si>
    <t>11-10-231</t>
  </si>
  <si>
    <t>144-179</t>
  </si>
  <si>
    <t>28-1-229</t>
  </si>
  <si>
    <t>25-2-229</t>
  </si>
  <si>
    <t>cress: var. 60</t>
  </si>
  <si>
    <t>3-5-227</t>
  </si>
  <si>
    <t>1-6-227</t>
  </si>
  <si>
    <t>12-5-227</t>
  </si>
  <si>
    <t>252-287</t>
  </si>
  <si>
    <t>13-5-227</t>
  </si>
  <si>
    <t>22-5-227</t>
  </si>
  <si>
    <t>23-5-227</t>
  </si>
  <si>
    <t>2-6-227</t>
  </si>
  <si>
    <t>30-6-227</t>
  </si>
  <si>
    <t>11-6-227</t>
  </si>
  <si>
    <t>12-6-227</t>
  </si>
  <si>
    <t>21-6-227</t>
  </si>
  <si>
    <t>22-6-227</t>
  </si>
  <si>
    <t>21-6-226</t>
  </si>
  <si>
    <t>19-7-226</t>
  </si>
  <si>
    <t>30-6-226</t>
  </si>
  <si>
    <t>1-7-226</t>
  </si>
  <si>
    <t>10-7-226</t>
  </si>
  <si>
    <t>11-7-226</t>
  </si>
  <si>
    <t>20-7-226</t>
  </si>
  <si>
    <t>18-8-226</t>
  </si>
  <si>
    <t>11-1-222</t>
  </si>
  <si>
    <t>20-1-222</t>
  </si>
  <si>
    <t>21-1-222</t>
  </si>
  <si>
    <t>30-1-222</t>
  </si>
  <si>
    <t>31-1-222</t>
  </si>
  <si>
    <t>9-2-222</t>
  </si>
  <si>
    <t>1-12-222</t>
  </si>
  <si>
    <t>10-12-222</t>
  </si>
  <si>
    <t>11-12-222</t>
  </si>
  <si>
    <t>20-12-222</t>
  </si>
  <si>
    <t>21-12-222</t>
  </si>
  <si>
    <t>29-12-222</t>
  </si>
  <si>
    <t>30-9-219</t>
  </si>
  <si>
    <t>28-10-219</t>
  </si>
  <si>
    <t>9-10-219</t>
  </si>
  <si>
    <t>fresh dates: 102</t>
  </si>
  <si>
    <t>10-10-219</t>
  </si>
  <si>
    <t>19-10-219</t>
  </si>
  <si>
    <t>20-10-219</t>
  </si>
  <si>
    <t>29-10-219</t>
  </si>
  <si>
    <t>28-11-219</t>
  </si>
  <si>
    <t>25-1-218</t>
  </si>
  <si>
    <t>23-2-218</t>
  </si>
  <si>
    <t>21-12-213</t>
  </si>
  <si>
    <t>18-1-212</t>
  </si>
  <si>
    <t xml:space="preserve"> [..]+12</t>
  </si>
  <si>
    <t>12-9-212</t>
  </si>
  <si>
    <t>10-10-212</t>
  </si>
  <si>
    <t>5-6-211</t>
  </si>
  <si>
    <t>4-7-211</t>
  </si>
  <si>
    <t>3-8-211</t>
  </si>
  <si>
    <t>30-8-211</t>
  </si>
  <si>
    <t>26-4-210</t>
  </si>
  <si>
    <t>24-5-210</t>
  </si>
  <si>
    <t>25-5-210</t>
  </si>
  <si>
    <t>3-6-210</t>
  </si>
  <si>
    <t>4-6-210</t>
  </si>
  <si>
    <t>13-6-210</t>
  </si>
  <si>
    <t>14-6-210</t>
  </si>
  <si>
    <t>23-6-210</t>
  </si>
  <si>
    <t>24-6-210</t>
  </si>
  <si>
    <t>23-7-210</t>
  </si>
  <si>
    <t>72!</t>
  </si>
  <si>
    <t>22-8-210</t>
  </si>
  <si>
    <t>20-9-210</t>
  </si>
  <si>
    <t>[360]+84</t>
  </si>
  <si>
    <t>11-8-209</t>
  </si>
  <si>
    <t>8-9-209</t>
  </si>
  <si>
    <t>3-4-208</t>
  </si>
  <si>
    <t>1-5-208</t>
  </si>
  <si>
    <t>2-5-208</t>
  </si>
  <si>
    <t>30-5-208</t>
  </si>
  <si>
    <t>360-539</t>
  </si>
  <si>
    <t>11-5-208</t>
  </si>
  <si>
    <t>12-5-208</t>
  </si>
  <si>
    <t>21-5-208</t>
  </si>
  <si>
    <t>22-5-208</t>
  </si>
  <si>
    <t>30-8-208</t>
  </si>
  <si>
    <t>27-9-208</t>
  </si>
  <si>
    <t>8-9-208</t>
  </si>
  <si>
    <t>9-9-208</t>
  </si>
  <si>
    <t>18-9-208</t>
  </si>
  <si>
    <t>19-9-208</t>
  </si>
  <si>
    <t>31-3-205</t>
  </si>
  <si>
    <t>29-4-205</t>
  </si>
  <si>
    <t>540?</t>
  </si>
  <si>
    <t>12-11-204</t>
  </si>
  <si>
    <t>10-12-204</t>
  </si>
  <si>
    <t>21-11-204</t>
  </si>
  <si>
    <t>22-11-204</t>
  </si>
  <si>
    <t>1-12-204</t>
  </si>
  <si>
    <t>2-12-204</t>
  </si>
  <si>
    <t>9-4-203</t>
  </si>
  <si>
    <t>7-5-203</t>
  </si>
  <si>
    <t>5-8-203</t>
  </si>
  <si>
    <t>2-9-203</t>
  </si>
  <si>
    <t>3-10-203</t>
  </si>
  <si>
    <t>1-11-203</t>
  </si>
  <si>
    <t>12-10-203</t>
  </si>
  <si>
    <t>13-10-203</t>
  </si>
  <si>
    <t>22-10-203</t>
  </si>
  <si>
    <t>23-10-203</t>
  </si>
  <si>
    <t>29-1-202</t>
  </si>
  <si>
    <t>27-2-202</t>
  </si>
  <si>
    <t xml:space="preserve"> 4?</t>
  </si>
  <si>
    <t>8-10-198</t>
  </si>
  <si>
    <t>5-11-198</t>
  </si>
  <si>
    <t>6-11-198</t>
  </si>
  <si>
    <t>5-12-198</t>
  </si>
  <si>
    <t>6-12-198</t>
  </si>
  <si>
    <t>3-1-197</t>
  </si>
  <si>
    <t>4-1-197</t>
  </si>
  <si>
    <t>2-2-197</t>
  </si>
  <si>
    <t>3-2-197</t>
  </si>
  <si>
    <t>2-3-197</t>
  </si>
  <si>
    <t>12-2-197</t>
  </si>
  <si>
    <t>13-2-197</t>
  </si>
  <si>
    <t>22-2-197</t>
  </si>
  <si>
    <t>23-2-197</t>
  </si>
  <si>
    <t>3-3-197</t>
  </si>
  <si>
    <t>1-4-197</t>
  </si>
  <si>
    <t>20-5-196</t>
  </si>
  <si>
    <t>17-6-196</t>
  </si>
  <si>
    <t>18-6-196</t>
  </si>
  <si>
    <t>17-7-196</t>
  </si>
  <si>
    <t>[180]+18</t>
  </si>
  <si>
    <t>13-12-196</t>
  </si>
  <si>
    <t>11-1-195</t>
  </si>
  <si>
    <t>180+24?</t>
  </si>
  <si>
    <t>246 or 426</t>
  </si>
  <si>
    <t>22-12-196</t>
  </si>
  <si>
    <t>23-12-196</t>
  </si>
  <si>
    <t>1-1-195</t>
  </si>
  <si>
    <t>2-1-195</t>
  </si>
  <si>
    <t>8-6-195</t>
  </si>
  <si>
    <t>6-7-195</t>
  </si>
  <si>
    <t>23-9-194</t>
  </si>
  <si>
    <t>22-10-194</t>
  </si>
  <si>
    <t xml:space="preserve"> 54?</t>
  </si>
  <si>
    <t>96-old dates</t>
  </si>
  <si>
    <t>23-10-194</t>
  </si>
  <si>
    <t>20-9-194</t>
  </si>
  <si>
    <t>[72 or 108]+18</t>
  </si>
  <si>
    <t>21-12-194</t>
  </si>
  <si>
    <t>19-1-193</t>
  </si>
  <si>
    <t>[2x]180</t>
  </si>
  <si>
    <t>20-1-193</t>
  </si>
  <si>
    <t>17-2-193</t>
  </si>
  <si>
    <t>48!-53?</t>
  </si>
  <si>
    <t>18-2-193</t>
  </si>
  <si>
    <t>18-3-193</t>
  </si>
  <si>
    <t>27-2-193</t>
  </si>
  <si>
    <t>28-2-193</t>
  </si>
  <si>
    <t>8-3-193</t>
  </si>
  <si>
    <t>9-3-193</t>
  </si>
  <si>
    <t>3-8-192</t>
  </si>
  <si>
    <t>1-9-192</t>
  </si>
  <si>
    <t>2-9-192</t>
  </si>
  <si>
    <t>30-9-192</t>
  </si>
  <si>
    <t>360 or 540</t>
  </si>
  <si>
    <t>18?</t>
  </si>
  <si>
    <t>1-10-192</t>
  </si>
  <si>
    <t>30-10-192</t>
  </si>
  <si>
    <t>31-10-192</t>
  </si>
  <si>
    <t>28-11-192</t>
  </si>
  <si>
    <t>25-4-191</t>
  </si>
  <si>
    <t>24-5-191</t>
  </si>
  <si>
    <t>25-5-191</t>
  </si>
  <si>
    <t>22-6-191</t>
  </si>
  <si>
    <t>30-35</t>
  </si>
  <si>
    <t>23-6-191</t>
  </si>
  <si>
    <t>22-7-191</t>
  </si>
  <si>
    <t>23-7-191</t>
  </si>
  <si>
    <t>21-8-191</t>
  </si>
  <si>
    <t>15-2-190</t>
  </si>
  <si>
    <t>15-3-190</t>
  </si>
  <si>
    <t>18-35!</t>
  </si>
  <si>
    <t>14-5-190</t>
  </si>
  <si>
    <t>11-6-190</t>
  </si>
  <si>
    <t>10-10-190</t>
  </si>
  <si>
    <t>7-11-190</t>
  </si>
  <si>
    <t>17-10-188</t>
  </si>
  <si>
    <t>14-11-188</t>
  </si>
  <si>
    <t>66?</t>
  </si>
  <si>
    <t>13-3-187</t>
  </si>
  <si>
    <t>11-4-187</t>
  </si>
  <si>
    <t>4-12-187</t>
  </si>
  <si>
    <t>1-1-186</t>
  </si>
  <si>
    <t>24?</t>
  </si>
  <si>
    <t>2-1-186</t>
  </si>
  <si>
    <t>31-1-186</t>
  </si>
  <si>
    <t>450-old</t>
  </si>
  <si>
    <t>11-1-186</t>
  </si>
  <si>
    <t>12-1-186</t>
  </si>
  <si>
    <t>21-1-186</t>
  </si>
  <si>
    <t>22-1-186</t>
  </si>
  <si>
    <t>1-2-186</t>
  </si>
  <si>
    <t>2-3-186</t>
  </si>
  <si>
    <t>3-3-186</t>
  </si>
  <si>
    <t>12-3-186</t>
  </si>
  <si>
    <t>13-3-186</t>
  </si>
  <si>
    <t>22-3-186</t>
  </si>
  <si>
    <t>23-3-186</t>
  </si>
  <si>
    <t>31-3-186</t>
  </si>
  <si>
    <t>20-2-185</t>
  </si>
  <si>
    <t>19-3-185</t>
  </si>
  <si>
    <t>8-5-184</t>
  </si>
  <si>
    <t>6-6-184</t>
  </si>
  <si>
    <t>7-6-184</t>
  </si>
  <si>
    <t>5-7-184</t>
  </si>
  <si>
    <t>16-6-184</t>
  </si>
  <si>
    <t>17-6-184</t>
  </si>
  <si>
    <t>26-6-184</t>
  </si>
  <si>
    <t>27-6-184</t>
  </si>
  <si>
    <t>6-7-184</t>
  </si>
  <si>
    <t>4-8-184</t>
  </si>
  <si>
    <t>15-7-184</t>
  </si>
  <si>
    <t>16-7-184</t>
  </si>
  <si>
    <t>25-7-184</t>
  </si>
  <si>
    <t>26-7-184</t>
  </si>
  <si>
    <t>28-1-183</t>
  </si>
  <si>
    <t>6-2-183</t>
  </si>
  <si>
    <t>7-2-183</t>
  </si>
  <si>
    <t>16-2-183</t>
  </si>
  <si>
    <t>17-2-183</t>
  </si>
  <si>
    <t>26-2-183</t>
  </si>
  <si>
    <t>27-4-183</t>
  </si>
  <si>
    <t>26-5-183</t>
  </si>
  <si>
    <t>6-5-183</t>
  </si>
  <si>
    <t>7-5-183</t>
  </si>
  <si>
    <t>16-5-183</t>
  </si>
  <si>
    <t>17-5-183</t>
  </si>
  <si>
    <t>24-8-183</t>
  </si>
  <si>
    <t>21-9-183</t>
  </si>
  <si>
    <t>21-10-183</t>
  </si>
  <si>
    <t>19-11-183</t>
  </si>
  <si>
    <t>30-10-183</t>
  </si>
  <si>
    <t>31-10-183</t>
  </si>
  <si>
    <t>9-11-183</t>
  </si>
  <si>
    <t>10-11-183</t>
  </si>
  <si>
    <t>20-11-183</t>
  </si>
  <si>
    <t>18-12-183</t>
  </si>
  <si>
    <t>29-11-183</t>
  </si>
  <si>
    <t>30-11-183</t>
  </si>
  <si>
    <t>9-12-183</t>
  </si>
  <si>
    <t>10-12-183</t>
  </si>
  <si>
    <t>19-12-183</t>
  </si>
  <si>
    <t>16-1-182</t>
  </si>
  <si>
    <t>[18]+3</t>
  </si>
  <si>
    <t>17-1-182</t>
  </si>
  <si>
    <t>15-2-182</t>
  </si>
  <si>
    <t>132?!</t>
  </si>
  <si>
    <t>barley /3\(p) 4(b) or [1 gu]r 4 (b)</t>
  </si>
  <si>
    <t>14-7-182</t>
  </si>
  <si>
    <t>12-8-182</t>
  </si>
  <si>
    <t>396+?</t>
  </si>
  <si>
    <t>405 new</t>
  </si>
  <si>
    <t>[..]+2,5</t>
  </si>
  <si>
    <t>dates 1 gur 1 (p) x GIBIL?? Mustard?</t>
  </si>
  <si>
    <t>25-1-180</t>
  </si>
  <si>
    <t>23-2-180</t>
  </si>
  <si>
    <t>3-2-180</t>
  </si>
  <si>
    <t>4-2-180</t>
  </si>
  <si>
    <t>13-2-180</t>
  </si>
  <si>
    <t>?</t>
  </si>
  <si>
    <t>14-2-180</t>
  </si>
  <si>
    <t>24-2-180</t>
  </si>
  <si>
    <t>24-3-180</t>
  </si>
  <si>
    <t>5-3-180</t>
  </si>
  <si>
    <t>156?</t>
  </si>
  <si>
    <t>432-437</t>
  </si>
  <si>
    <t>Z?.L[UM] 4(p) 2(b)?</t>
  </si>
  <si>
    <t>6-3-180</t>
  </si>
  <si>
    <t>15-3-180</t>
  </si>
  <si>
    <t>16-3-180</t>
  </si>
  <si>
    <t>21-6-180</t>
  </si>
  <si>
    <t>20-7-180</t>
  </si>
  <si>
    <t>21-7-180</t>
  </si>
  <si>
    <t>18-8-180</t>
  </si>
  <si>
    <t>30-7-180</t>
  </si>
  <si>
    <t>[72]+24</t>
  </si>
  <si>
    <t>31-7-180</t>
  </si>
  <si>
    <t>9-8-180</t>
  </si>
  <si>
    <t>10-8-180</t>
  </si>
  <si>
    <t>17-11-180</t>
  </si>
  <si>
    <t>15-12-180</t>
  </si>
  <si>
    <t>13-2-179</t>
  </si>
  <si>
    <t>14-3-179</t>
  </si>
  <si>
    <t xml:space="preserve">   [..]</t>
  </si>
  <si>
    <t>9-8-179</t>
  </si>
  <si>
    <t>6-9-179</t>
  </si>
  <si>
    <t>588-593</t>
  </si>
  <si>
    <t>4-3-178</t>
  </si>
  <si>
    <t>2-4-178</t>
  </si>
  <si>
    <t>13-3-178</t>
  </si>
  <si>
    <t>14-3-178</t>
  </si>
  <si>
    <t>23-3-178</t>
  </si>
  <si>
    <t>[144]+18</t>
  </si>
  <si>
    <t>24-3-178</t>
  </si>
  <si>
    <t>24-12-178</t>
  </si>
  <si>
    <t>22-1-177</t>
  </si>
  <si>
    <t>2+[..]</t>
  </si>
  <si>
    <t>2-1-177</t>
  </si>
  <si>
    <t>3-1-177</t>
  </si>
  <si>
    <t>12-1-177</t>
  </si>
  <si>
    <t>13-1-177</t>
  </si>
  <si>
    <t>60?-65?</t>
  </si>
  <si>
    <t>180+?</t>
  </si>
  <si>
    <t>barley end 1?! (p) 4?(b)</t>
  </si>
  <si>
    <t>14-9-177</t>
  </si>
  <si>
    <t>13-10-177</t>
  </si>
  <si>
    <t>12-10-174</t>
  </si>
  <si>
    <t>10-11-174</t>
  </si>
  <si>
    <t>11-11-174</t>
  </si>
  <si>
    <t>9-12-174</t>
  </si>
  <si>
    <t>10-12-174</t>
  </si>
  <si>
    <t>8-1-173</t>
  </si>
  <si>
    <t>19-12-174</t>
  </si>
  <si>
    <t>20-12-174</t>
  </si>
  <si>
    <t>29-12-174</t>
  </si>
  <si>
    <t>30-12-174</t>
  </si>
  <si>
    <t>7-3-173</t>
  </si>
  <si>
    <t>6-4-173</t>
  </si>
  <si>
    <t>I of XIIB</t>
  </si>
  <si>
    <t>16-3-171</t>
  </si>
  <si>
    <t>13-4-171</t>
  </si>
  <si>
    <t>or: 26-3-172</t>
  </si>
  <si>
    <t>14-5-171</t>
  </si>
  <si>
    <t>12-6-171</t>
  </si>
  <si>
    <t>[72]+18</t>
  </si>
  <si>
    <t>13-6-171</t>
  </si>
  <si>
    <t>11-7-171</t>
  </si>
  <si>
    <t>[72]+12</t>
  </si>
  <si>
    <t>12-7-171</t>
  </si>
  <si>
    <t>9-8-171</t>
  </si>
  <si>
    <t>[..]+30</t>
  </si>
  <si>
    <t>10-8-171</t>
  </si>
  <si>
    <t>8-9-171</t>
  </si>
  <si>
    <t>9-10-171</t>
  </si>
  <si>
    <t>7-11-171</t>
  </si>
  <si>
    <t>b!</t>
  </si>
  <si>
    <t>18-10-171</t>
  </si>
  <si>
    <t>19-10-171</t>
  </si>
  <si>
    <t>28-10-171</t>
  </si>
  <si>
    <t>29-10-171</t>
  </si>
  <si>
    <t>8-11-171</t>
  </si>
  <si>
    <t>6-12-171</t>
  </si>
  <si>
    <t>XII?</t>
  </si>
  <si>
    <t>6-3-170</t>
  </si>
  <si>
    <t>3-4-170</t>
  </si>
  <si>
    <t>[0 or 36]+24</t>
  </si>
  <si>
    <t>18-8-169</t>
  </si>
  <si>
    <t>15-9-169</t>
  </si>
  <si>
    <t>very good barley</t>
  </si>
  <si>
    <t>27-8-169</t>
  </si>
  <si>
    <t>28-8-169</t>
  </si>
  <si>
    <t>6-9-169</t>
  </si>
  <si>
    <t>7-9-169</t>
  </si>
  <si>
    <t>16-9-169</t>
  </si>
  <si>
    <t>15-10-169</t>
  </si>
  <si>
    <t>720/var.:540</t>
  </si>
  <si>
    <t>96/var.:84</t>
  </si>
  <si>
    <t>48/var.:42</t>
  </si>
  <si>
    <t>I followed -168B 10</t>
  </si>
  <si>
    <t>15-11-169</t>
  </si>
  <si>
    <t>13-12-169</t>
  </si>
  <si>
    <t>24-11-169</t>
  </si>
  <si>
    <t>25-11-169</t>
  </si>
  <si>
    <t>4-12-169</t>
  </si>
  <si>
    <t>5-12-169</t>
  </si>
  <si>
    <t xml:space="preserve">39? </t>
  </si>
  <si>
    <t>16-8-166</t>
  </si>
  <si>
    <t>13-9-166</t>
  </si>
  <si>
    <t>666-677</t>
  </si>
  <si>
    <t>dates: 3 gur 3(p) 3 or 4(b)[..]</t>
  </si>
  <si>
    <t>7-5-165</t>
  </si>
  <si>
    <t>5-6-165</t>
  </si>
  <si>
    <t>16-5-165</t>
  </si>
  <si>
    <t>17-5-165</t>
  </si>
  <si>
    <t>26-5-165</t>
  </si>
  <si>
    <t>27-5-165</t>
  </si>
  <si>
    <t>2-10-165</t>
  </si>
  <si>
    <t>31-10-165</t>
  </si>
  <si>
    <t>11-10-165</t>
  </si>
  <si>
    <t>12-10-165</t>
  </si>
  <si>
    <t>21-10-165</t>
  </si>
  <si>
    <t>22-10-165</t>
  </si>
  <si>
    <t>26-2-164</t>
  </si>
  <si>
    <t>27-3-164</t>
  </si>
  <si>
    <t>40?</t>
  </si>
  <si>
    <t>22+23 March no barley exchange</t>
  </si>
  <si>
    <t>26-4-164</t>
  </si>
  <si>
    <t>25-5-164</t>
  </si>
  <si>
    <t>5-5-164</t>
  </si>
  <si>
    <t>162!</t>
  </si>
  <si>
    <t>6-5-164</t>
  </si>
  <si>
    <t>15-5-164</t>
  </si>
  <si>
    <t>16-5-164</t>
  </si>
  <si>
    <t>150?</t>
  </si>
  <si>
    <t>dates beg. 4!(p) 3(b); end 4(p) 1?(b)</t>
  </si>
  <si>
    <t>21-10-164</t>
  </si>
  <si>
    <t>30-10-164</t>
  </si>
  <si>
    <t>var: dates 276</t>
  </si>
  <si>
    <t>31-10-164</t>
  </si>
  <si>
    <t>9-11-164</t>
  </si>
  <si>
    <t xml:space="preserve">   </t>
  </si>
  <si>
    <t>10-11-164</t>
  </si>
  <si>
    <t>19-11-164</t>
  </si>
  <si>
    <t>var: dates 270</t>
  </si>
  <si>
    <t>19-12-164</t>
  </si>
  <si>
    <t>28-12-164</t>
  </si>
  <si>
    <t>29-12-164</t>
  </si>
  <si>
    <t>7-1-163</t>
  </si>
  <si>
    <t>8-1-163</t>
  </si>
  <si>
    <t>16-1-163</t>
  </si>
  <si>
    <t>17-1-163</t>
  </si>
  <si>
    <t>15-2-163</t>
  </si>
  <si>
    <t>[..]+18</t>
  </si>
  <si>
    <t>16-2-163</t>
  </si>
  <si>
    <t>25-2-163</t>
  </si>
  <si>
    <t>26-2-163</t>
  </si>
  <si>
    <t>7-3-163</t>
  </si>
  <si>
    <t>8-3-163</t>
  </si>
  <si>
    <t>16-3-163</t>
  </si>
  <si>
    <t>252-359</t>
  </si>
  <si>
    <t>dates: 1 gur 2?[+(p)…]</t>
  </si>
  <si>
    <t>5-4-162</t>
  </si>
  <si>
    <t>4-5-162</t>
  </si>
  <si>
    <t>14-4-162</t>
  </si>
  <si>
    <t>15-4-162</t>
  </si>
  <si>
    <t>24-2-162</t>
  </si>
  <si>
    <t>25-4-162</t>
  </si>
  <si>
    <t>1-8-162</t>
  </si>
  <si>
    <t>10-8-162</t>
  </si>
  <si>
    <t>11-8-162</t>
  </si>
  <si>
    <t>20-8-162</t>
  </si>
  <si>
    <t>21-8-162</t>
  </si>
  <si>
    <t>30-8-162</t>
  </si>
  <si>
    <t>31-8-162</t>
  </si>
  <si>
    <t>29-9-162</t>
  </si>
  <si>
    <t>9-9-162</t>
  </si>
  <si>
    <t>10-9-162</t>
  </si>
  <si>
    <t>19-9-162</t>
  </si>
  <si>
    <t>20-9-162</t>
  </si>
  <si>
    <t>30-9-162</t>
  </si>
  <si>
    <t>28-10-162</t>
  </si>
  <si>
    <t>15-1-160</t>
  </si>
  <si>
    <t>12-2-160</t>
  </si>
  <si>
    <t>29-7-159</t>
  </si>
  <si>
    <t>26-8-159</t>
  </si>
  <si>
    <t>7-8-159</t>
  </si>
  <si>
    <t>8-8-159</t>
  </si>
  <si>
    <t>17-8-159</t>
  </si>
  <si>
    <t>98?</t>
  </si>
  <si>
    <t>18-8-159</t>
  </si>
  <si>
    <t>27-8-159</t>
  </si>
  <si>
    <t>25-9-159</t>
  </si>
  <si>
    <t>30?</t>
  </si>
  <si>
    <t>cress: 5!?(b)</t>
  </si>
  <si>
    <t>19-7-158</t>
  </si>
  <si>
    <t>16-8-158</t>
  </si>
  <si>
    <t>28-7-158</t>
  </si>
  <si>
    <t>36?</t>
  </si>
  <si>
    <t>Ses. 1 PI?[..</t>
  </si>
  <si>
    <t>29-7-158</t>
  </si>
  <si>
    <t>7-8-158</t>
  </si>
  <si>
    <t>8-8-158</t>
  </si>
  <si>
    <t>9-4-157</t>
  </si>
  <si>
    <t>8-5-157</t>
  </si>
  <si>
    <t xml:space="preserve">I   </t>
  </si>
  <si>
    <t>18-4-157</t>
  </si>
  <si>
    <t>19-4-157</t>
  </si>
  <si>
    <t>28-4-157</t>
  </si>
  <si>
    <t>29-4-157</t>
  </si>
  <si>
    <t>5-8-157</t>
  </si>
  <si>
    <t>3-9-157</t>
  </si>
  <si>
    <t>2-11-157</t>
  </si>
  <si>
    <t>11-11-157</t>
  </si>
  <si>
    <t>114?</t>
  </si>
  <si>
    <t>12-11-157</t>
  </si>
  <si>
    <t>21-11-157</t>
  </si>
  <si>
    <t>22-11-157</t>
  </si>
  <si>
    <t>1-12-157</t>
  </si>
  <si>
    <t>28-2-156</t>
  </si>
  <si>
    <t>29-3-156</t>
  </si>
  <si>
    <t>[x m]ana 15sh</t>
  </si>
  <si>
    <t xml:space="preserve">XII  </t>
  </si>
  <si>
    <t>9-3-156</t>
  </si>
  <si>
    <t xml:space="preserve">XII      </t>
  </si>
  <si>
    <t>10-3-156</t>
  </si>
  <si>
    <t>19-3-156</t>
  </si>
  <si>
    <t>11-12</t>
  </si>
  <si>
    <t>11-3-156</t>
  </si>
  <si>
    <t>barley 3(p) 3??(b)[..</t>
  </si>
  <si>
    <t xml:space="preserve">18-30 </t>
  </si>
  <si>
    <t>17-3-156</t>
  </si>
  <si>
    <t>20-3-156</t>
  </si>
  <si>
    <t>360+</t>
  </si>
  <si>
    <t>26-6-156</t>
  </si>
  <si>
    <t>25-7-156</t>
  </si>
  <si>
    <t>5-7-156</t>
  </si>
  <si>
    <t xml:space="preserve">    </t>
  </si>
  <si>
    <t>6-7-156</t>
  </si>
  <si>
    <t>15-7-156</t>
  </si>
  <si>
    <t>16-7-156</t>
  </si>
  <si>
    <t>15-7-155</t>
  </si>
  <si>
    <t>24-7-155</t>
  </si>
  <si>
    <t>25-7-155</t>
  </si>
  <si>
    <t>3-8-155</t>
  </si>
  <si>
    <t>4-8-155</t>
  </si>
  <si>
    <t>13-8-155</t>
  </si>
  <si>
    <t>7-2-154</t>
  </si>
  <si>
    <t>16-2-154</t>
  </si>
  <si>
    <t>barley 2(p) 2+?(b) x qa</t>
  </si>
  <si>
    <t>17-2-154</t>
  </si>
  <si>
    <t>26-2-154</t>
  </si>
  <si>
    <t>27-2-154</t>
  </si>
  <si>
    <t>7-3-154</t>
  </si>
  <si>
    <t>[90?]+3</t>
  </si>
  <si>
    <t>barley [2(p) /3?\(b) 3 qa</t>
  </si>
  <si>
    <t>3-8-154</t>
  </si>
  <si>
    <t>1-9-154</t>
  </si>
  <si>
    <t>17-10-150</t>
  </si>
  <si>
    <t>14-11-150</t>
  </si>
  <si>
    <t>26-10-150</t>
  </si>
  <si>
    <t>27-10-150</t>
  </si>
  <si>
    <t>5-11-150</t>
  </si>
  <si>
    <t>6-11-150</t>
  </si>
  <si>
    <t>23-8-145</t>
  </si>
  <si>
    <t>21-9-145</t>
  </si>
  <si>
    <t>1-9-145</t>
  </si>
  <si>
    <t>2-9-145</t>
  </si>
  <si>
    <t>11-9-145</t>
  </si>
  <si>
    <t>270-275</t>
  </si>
  <si>
    <t>12-9-145</t>
  </si>
  <si>
    <t>22-9-145</t>
  </si>
  <si>
    <t>20-10-145</t>
  </si>
  <si>
    <t>1-10-145</t>
  </si>
  <si>
    <t>2-10-145</t>
  </si>
  <si>
    <t>11-10-145</t>
  </si>
  <si>
    <t>12-10-145</t>
  </si>
  <si>
    <t>21-10-145</t>
  </si>
  <si>
    <t>18-11-145</t>
  </si>
  <si>
    <t>old dates</t>
  </si>
  <si>
    <t>m?</t>
  </si>
  <si>
    <t>1-11-145</t>
  </si>
  <si>
    <t>10-11-145</t>
  </si>
  <si>
    <t>13-7-144</t>
  </si>
  <si>
    <t>11-8-144</t>
  </si>
  <si>
    <t>22-7-144</t>
  </si>
  <si>
    <t>84?</t>
  </si>
  <si>
    <t>240?</t>
  </si>
  <si>
    <t>barley: 2!(p) 2?(b); not good: 90</t>
  </si>
  <si>
    <t>Hunger 3(p) 5(b)</t>
  </si>
  <si>
    <t>11-17</t>
  </si>
  <si>
    <t>23-7-144</t>
  </si>
  <si>
    <t>29-7-144</t>
  </si>
  <si>
    <t>2-8-144</t>
  </si>
  <si>
    <t>8-11-144</t>
  </si>
  <si>
    <t>17-11-144</t>
  </si>
  <si>
    <t>18-11-144</t>
  </si>
  <si>
    <t>27-11-144</t>
  </si>
  <si>
    <t>28-11-144</t>
  </si>
  <si>
    <t>7-12-144</t>
  </si>
  <si>
    <t>23-24</t>
  </si>
  <si>
    <t>30-11-144</t>
  </si>
  <si>
    <t>31-11-144</t>
  </si>
  <si>
    <t>132-137</t>
  </si>
  <si>
    <t>28-10-143</t>
  </si>
  <si>
    <t>26-11-143</t>
  </si>
  <si>
    <t xml:space="preserve">II </t>
  </si>
  <si>
    <t>24-4-142</t>
  </si>
  <si>
    <t>3-5-142</t>
  </si>
  <si>
    <t xml:space="preserve">II    </t>
  </si>
  <si>
    <t>4-5-142</t>
  </si>
  <si>
    <t>13-5-142</t>
  </si>
  <si>
    <t>14-5-142</t>
  </si>
  <si>
    <t>23-5-142</t>
  </si>
  <si>
    <t>13-4-141</t>
  </si>
  <si>
    <t>11-5-141</t>
  </si>
  <si>
    <t>[36?]+16</t>
  </si>
  <si>
    <t>22-4-141</t>
  </si>
  <si>
    <t>468-503</t>
  </si>
  <si>
    <t>dates: 2 gur 3 pi</t>
  </si>
  <si>
    <t>23-4-141</t>
  </si>
  <si>
    <t>2-5-141</t>
  </si>
  <si>
    <t>3-5-141</t>
  </si>
  <si>
    <t>10-7-141</t>
  </si>
  <si>
    <t>7-8-141</t>
  </si>
  <si>
    <t>19-7-141</t>
  </si>
  <si>
    <t>[36+12]+3</t>
  </si>
  <si>
    <t>20-7-141</t>
  </si>
  <si>
    <t>29-7-141</t>
  </si>
  <si>
    <t>30-7-141</t>
  </si>
  <si>
    <t>6-10-141</t>
  </si>
  <si>
    <t>4-11-141</t>
  </si>
  <si>
    <t>270?</t>
  </si>
  <si>
    <t>15-10-141</t>
  </si>
  <si>
    <t>16-10-141</t>
  </si>
  <si>
    <t>25-10-141</t>
  </si>
  <si>
    <t>432-467</t>
  </si>
  <si>
    <t>26-10-141</t>
  </si>
  <si>
    <t>e+</t>
  </si>
  <si>
    <t>1-11-141</t>
  </si>
  <si>
    <t>4-12-141</t>
  </si>
  <si>
    <t>2-1-140</t>
  </si>
  <si>
    <t>[360]+156</t>
  </si>
  <si>
    <r>
      <t>18</t>
    </r>
    <r>
      <rPr>
        <sz val="10"/>
        <rFont val="Arial"/>
        <family val="2"/>
        <charset val="161"/>
      </rPr>
      <t>-12-141</t>
    </r>
  </si>
  <si>
    <t>14-12-141</t>
  </si>
  <si>
    <t>23-12-141</t>
  </si>
  <si>
    <r>
      <t>19</t>
    </r>
    <r>
      <rPr>
        <sz val="10"/>
        <rFont val="Arial"/>
        <family val="2"/>
        <charset val="161"/>
      </rPr>
      <t>-12-141</t>
    </r>
  </si>
  <si>
    <t>3-1-140</t>
  </si>
  <si>
    <t>31-1-140</t>
  </si>
  <si>
    <t>12-1-140</t>
  </si>
  <si>
    <t>13-1-140</t>
  </si>
  <si>
    <t>22-1-140</t>
  </si>
  <si>
    <t>var. Dates 450</t>
  </si>
  <si>
    <t>23-1-140</t>
  </si>
  <si>
    <t>not good barley: 126</t>
  </si>
  <si>
    <t>var. Dates 468</t>
  </si>
  <si>
    <t>1-2-140</t>
  </si>
  <si>
    <t>2-3-140</t>
  </si>
  <si>
    <t>10-3-140</t>
  </si>
  <si>
    <t>11-2-140</t>
  </si>
  <si>
    <t>20-3-140</t>
  </si>
  <si>
    <t>[360]+[36-144]</t>
  </si>
  <si>
    <t>21-2-140</t>
  </si>
  <si>
    <t xml:space="preserve">II     </t>
  </si>
  <si>
    <t>9-5-138</t>
  </si>
  <si>
    <t>18-5-138</t>
  </si>
  <si>
    <t>336?</t>
  </si>
  <si>
    <t>19-5-138</t>
  </si>
  <si>
    <t>28-5-138</t>
  </si>
  <si>
    <t>20-25</t>
  </si>
  <si>
    <t>2-6-138</t>
  </si>
  <si>
    <t>29-5-138</t>
  </si>
  <si>
    <t>7-6-138</t>
  </si>
  <si>
    <t>26-28</t>
  </si>
  <si>
    <t>3-6-138</t>
  </si>
  <si>
    <t>5-6-138</t>
  </si>
  <si>
    <t>8-6-138</t>
  </si>
  <si>
    <t>7-7-138</t>
  </si>
  <si>
    <t>17-6-138</t>
  </si>
  <si>
    <t>18-6-138</t>
  </si>
  <si>
    <t>27-6-138</t>
  </si>
  <si>
    <t>[..]-17</t>
  </si>
  <si>
    <t>24-6-138</t>
  </si>
  <si>
    <t>25-6-138</t>
  </si>
  <si>
    <t>19-e</t>
  </si>
  <si>
    <t>26-6-138</t>
  </si>
  <si>
    <t>28-6-138</t>
  </si>
  <si>
    <t>8-7-138</t>
  </si>
  <si>
    <t>5-8-138</t>
  </si>
  <si>
    <t>17-7-138</t>
  </si>
  <si>
    <t>18-7-138</t>
  </si>
  <si>
    <t>27-7-138</t>
  </si>
  <si>
    <t>28-8-138</t>
  </si>
  <si>
    <t>6-8-138</t>
  </si>
  <si>
    <t>4-9-138</t>
  </si>
  <si>
    <t>3-11-138</t>
  </si>
  <si>
    <t>2-12-138</t>
  </si>
  <si>
    <t xml:space="preserve">VIII </t>
  </si>
  <si>
    <t>12-11-138</t>
  </si>
  <si>
    <t>[180?]+120</t>
  </si>
  <si>
    <t>13-11-138</t>
  </si>
  <si>
    <t>22-11-138</t>
  </si>
  <si>
    <t>[..]-13</t>
  </si>
  <si>
    <t>15-11-138</t>
  </si>
  <si>
    <t>16-11-138</t>
  </si>
  <si>
    <t>15-20</t>
  </si>
  <si>
    <t>17-11-138</t>
  </si>
  <si>
    <t>21-22</t>
  </si>
  <si>
    <t>23-11-138</t>
  </si>
  <si>
    <t>24-11-138</t>
  </si>
  <si>
    <t>50-53</t>
  </si>
  <si>
    <t>3-12-138</t>
  </si>
  <si>
    <t>31-12-138</t>
  </si>
  <si>
    <t>12-12-138</t>
  </si>
  <si>
    <t>300?</t>
  </si>
  <si>
    <t>13-12-138</t>
  </si>
  <si>
    <t>22-12-138</t>
  </si>
  <si>
    <t>23-12-138</t>
  </si>
  <si>
    <t>1-1-137</t>
  </si>
  <si>
    <t>29-1-137</t>
  </si>
  <si>
    <t>10-1-137</t>
  </si>
  <si>
    <t>1-3</t>
  </si>
  <si>
    <t>3-1-137</t>
  </si>
  <si>
    <t>4-5</t>
  </si>
  <si>
    <t>4-1-137</t>
  </si>
  <si>
    <t>5-1-137</t>
  </si>
  <si>
    <t>6-1-137</t>
  </si>
  <si>
    <t>7-8</t>
  </si>
  <si>
    <t>7-1-137</t>
  </si>
  <si>
    <t>8-1-137</t>
  </si>
  <si>
    <t>288+[24?]</t>
  </si>
  <si>
    <t>[9-..]</t>
  </si>
  <si>
    <t>9-1-137</t>
  </si>
  <si>
    <t>11-1-137</t>
  </si>
  <si>
    <t>20-1-137</t>
  </si>
  <si>
    <t>21-1-137</t>
  </si>
  <si>
    <t>28-2-138</t>
  </si>
  <si>
    <t>28-3-138</t>
  </si>
  <si>
    <t>23-10-137</t>
  </si>
  <si>
    <t>20-9-137</t>
  </si>
  <si>
    <t>20-12-137</t>
  </si>
  <si>
    <t>29-12-137</t>
  </si>
  <si>
    <t>30-12-137</t>
  </si>
  <si>
    <t>8-1-136</t>
  </si>
  <si>
    <t>9-1-136</t>
  </si>
  <si>
    <t>18-1-136</t>
  </si>
  <si>
    <t>19-1-136</t>
  </si>
  <si>
    <t>28-1-136</t>
  </si>
  <si>
    <t>29-1-136</t>
  </si>
  <si>
    <t>7-2-136</t>
  </si>
  <si>
    <t>8-2-136</t>
  </si>
  <si>
    <t>16-2-136</t>
  </si>
  <si>
    <t xml:space="preserve">XI </t>
  </si>
  <si>
    <t>28-29</t>
  </si>
  <si>
    <t>15-2-136</t>
  </si>
  <si>
    <t>18-3-136</t>
  </si>
  <si>
    <t>16-4-136</t>
  </si>
  <si>
    <t>1-9-135</t>
  </si>
  <si>
    <t>10-9-135</t>
  </si>
  <si>
    <t>11-9-135</t>
  </si>
  <si>
    <t>20-9-135</t>
  </si>
  <si>
    <t>21-9-135</t>
  </si>
  <si>
    <t>30-9-135</t>
  </si>
  <si>
    <t>1-10-135</t>
  </si>
  <si>
    <t>30-10-135</t>
  </si>
  <si>
    <t>10-10-135</t>
  </si>
  <si>
    <t>11-10-135</t>
  </si>
  <si>
    <t>20-10-135</t>
  </si>
  <si>
    <t>21-10-135</t>
  </si>
  <si>
    <t>27-1-134</t>
  </si>
  <si>
    <t>25-2-134</t>
  </si>
  <si>
    <t>5-2-134</t>
  </si>
  <si>
    <t>6-2-134</t>
  </si>
  <si>
    <t>15-2-134</t>
  </si>
  <si>
    <t>16-2-134</t>
  </si>
  <si>
    <t>396-481</t>
  </si>
  <si>
    <t>26-2-134</t>
  </si>
  <si>
    <t>26-3-134</t>
  </si>
  <si>
    <t>1+[..]</t>
  </si>
  <si>
    <t>7-3-134</t>
  </si>
  <si>
    <t>8-3-134</t>
  </si>
  <si>
    <t>17-3-134</t>
  </si>
  <si>
    <t>420-425</t>
  </si>
  <si>
    <t>18-3-134</t>
  </si>
  <si>
    <t>28-3-134</t>
  </si>
  <si>
    <t>17-1-133</t>
  </si>
  <si>
    <t>14-2-133</t>
  </si>
  <si>
    <t>26-1-133</t>
  </si>
  <si>
    <t>1-5</t>
  </si>
  <si>
    <t>21-1-133</t>
  </si>
  <si>
    <t>6-9</t>
  </si>
  <si>
    <t>22-1-133</t>
  </si>
  <si>
    <t>25-1-133</t>
  </si>
  <si>
    <t>10-15</t>
  </si>
  <si>
    <t>31-1-133</t>
  </si>
  <si>
    <t>[180]+108</t>
  </si>
  <si>
    <t>27-1-133</t>
  </si>
  <si>
    <t>5-2-133</t>
  </si>
  <si>
    <t>16-20</t>
  </si>
  <si>
    <t>1-2-133</t>
  </si>
  <si>
    <t>21-26</t>
  </si>
  <si>
    <t>6-2-133</t>
  </si>
  <si>
    <t>11-2-133</t>
  </si>
  <si>
    <t>12-2-133</t>
  </si>
  <si>
    <t>27-29</t>
  </si>
  <si>
    <t>13-2-133</t>
  </si>
  <si>
    <t>15-2-133</t>
  </si>
  <si>
    <t>15-3-133</t>
  </si>
  <si>
    <t>24-2-133</t>
  </si>
  <si>
    <t>[4x?]180</t>
  </si>
  <si>
    <t>1-2</t>
  </si>
  <si>
    <t>16-2-133</t>
  </si>
  <si>
    <t>3-4</t>
  </si>
  <si>
    <t>17-2-133</t>
  </si>
  <si>
    <t>18-2-133</t>
  </si>
  <si>
    <t>5-7</t>
  </si>
  <si>
    <t>19-2-133</t>
  </si>
  <si>
    <t>21-2-133</t>
  </si>
  <si>
    <t>25-2-133</t>
  </si>
  <si>
    <t>5-3-133</t>
  </si>
  <si>
    <t>6-3-133</t>
  </si>
  <si>
    <t>8-9-133</t>
  </si>
  <si>
    <t>7-10-133</t>
  </si>
  <si>
    <t>17-9-133</t>
  </si>
  <si>
    <t>[540?]+45</t>
  </si>
  <si>
    <t>81?</t>
  </si>
  <si>
    <t>18-9-133</t>
  </si>
  <si>
    <t>27-9-133</t>
  </si>
  <si>
    <t>28-9-133</t>
  </si>
  <si>
    <t>[n x] 180</t>
  </si>
  <si>
    <t>8-10-133</t>
  </si>
  <si>
    <t>6-11-133</t>
  </si>
  <si>
    <t>8?</t>
  </si>
  <si>
    <t>17-10-133</t>
  </si>
  <si>
    <t>18-10-133</t>
  </si>
  <si>
    <t>27-10-133</t>
  </si>
  <si>
    <t>[180]+144</t>
  </si>
  <si>
    <t>old dates? -132 C23</t>
  </si>
  <si>
    <t>28-10-133</t>
  </si>
  <si>
    <t>108-143</t>
  </si>
  <si>
    <t>288-323</t>
  </si>
  <si>
    <t>7-11-133</t>
  </si>
  <si>
    <t>5-12-133</t>
  </si>
  <si>
    <t>16-11-133</t>
  </si>
  <si>
    <t>1-12</t>
  </si>
  <si>
    <t>18-11-133</t>
  </si>
  <si>
    <t>17-11-133</t>
  </si>
  <si>
    <t>26-11-133</t>
  </si>
  <si>
    <t>13-18</t>
  </si>
  <si>
    <t>19-11-133</t>
  </si>
  <si>
    <t>24-11-133</t>
  </si>
  <si>
    <t>[..]-20</t>
  </si>
  <si>
    <t>25-11-133</t>
  </si>
  <si>
    <t>19-20</t>
  </si>
  <si>
    <t>27-11-133</t>
  </si>
  <si>
    <t>21-23</t>
  </si>
  <si>
    <t>29-11-133</t>
  </si>
  <si>
    <t>24-e?</t>
  </si>
  <si>
    <t>30-11-133</t>
  </si>
  <si>
    <t>5-1-132</t>
  </si>
  <si>
    <t>2-2-132</t>
  </si>
  <si>
    <t>15-1-132</t>
  </si>
  <si>
    <t>24-1-132</t>
  </si>
  <si>
    <t>20-1-132</t>
  </si>
  <si>
    <t>21-e</t>
  </si>
  <si>
    <t>25-1-132</t>
  </si>
  <si>
    <t>3-2-132</t>
  </si>
  <si>
    <t>4-3-132</t>
  </si>
  <si>
    <t>5-3-132</t>
  </si>
  <si>
    <t>3-4-132</t>
  </si>
  <si>
    <t>14-3-132</t>
  </si>
  <si>
    <t>15-3-132</t>
  </si>
  <si>
    <t>24-3-132</t>
  </si>
  <si>
    <t>25-3-132</t>
  </si>
  <si>
    <t>114-179</t>
  </si>
  <si>
    <t>27-e</t>
  </si>
  <si>
    <t>31-3-132</t>
  </si>
  <si>
    <t>IV?</t>
  </si>
  <si>
    <t>20-7-131</t>
  </si>
  <si>
    <t>18-8-131</t>
  </si>
  <si>
    <t>[180]+51</t>
  </si>
  <si>
    <t>[..]+1,5</t>
  </si>
  <si>
    <t>11-2-130</t>
  </si>
  <si>
    <t>20-2-130</t>
  </si>
  <si>
    <t>21-2-130</t>
  </si>
  <si>
    <t>2-3-130</t>
  </si>
  <si>
    <t>3-3-130</t>
  </si>
  <si>
    <t>12-3-130</t>
  </si>
  <si>
    <t>972?+[..]</t>
  </si>
  <si>
    <t>13-3-130</t>
  </si>
  <si>
    <t>22-3-130</t>
  </si>
  <si>
    <t>23-3-130</t>
  </si>
  <si>
    <t>1-4-130</t>
  </si>
  <si>
    <t>[..]-23</t>
  </si>
  <si>
    <t>4-4-130</t>
  </si>
  <si>
    <t>2-4-130</t>
  </si>
  <si>
    <t>10-4-130</t>
  </si>
  <si>
    <t>11-4-130</t>
  </si>
  <si>
    <t>20-4-130</t>
  </si>
  <si>
    <t>[..]+0,5</t>
  </si>
  <si>
    <t>21-4-130</t>
  </si>
  <si>
    <t>30-4-130</t>
  </si>
  <si>
    <t>1-5-130</t>
  </si>
  <si>
    <t>10-5-130</t>
  </si>
  <si>
    <t>11-5-130</t>
  </si>
  <si>
    <t>9-6-130</t>
  </si>
  <si>
    <t>not good barley 120</t>
  </si>
  <si>
    <t>20-5-130</t>
  </si>
  <si>
    <t>21-5-130</t>
  </si>
  <si>
    <t>30-5-130</t>
  </si>
  <si>
    <t>31-5-130</t>
  </si>
  <si>
    <t>10-7-130</t>
  </si>
  <si>
    <t>19-7-130</t>
  </si>
  <si>
    <t>20-7-130</t>
  </si>
  <si>
    <t>29-7-130</t>
  </si>
  <si>
    <t>30-7-130</t>
  </si>
  <si>
    <t>7-8-130</t>
  </si>
  <si>
    <t>5-8-130</t>
  </si>
  <si>
    <t>8-8-130</t>
  </si>
  <si>
    <t>17-8-130</t>
  </si>
  <si>
    <t>18-8-130</t>
  </si>
  <si>
    <t>27-8-130</t>
  </si>
  <si>
    <t>28-8-130</t>
  </si>
  <si>
    <t>6-9-130</t>
  </si>
  <si>
    <t>7-9-130</t>
  </si>
  <si>
    <t>5-10-130</t>
  </si>
  <si>
    <t>1-11-127</t>
  </si>
  <si>
    <t>30-11-127</t>
  </si>
  <si>
    <t>10-11-127</t>
  </si>
  <si>
    <t>/36\+27</t>
  </si>
  <si>
    <t>11-11-127</t>
  </si>
  <si>
    <t>20-11-127</t>
  </si>
  <si>
    <t>21-11-127</t>
  </si>
  <si>
    <t>22-24</t>
  </si>
  <si>
    <t>22-11-127</t>
  </si>
  <si>
    <t>24-11-127</t>
  </si>
  <si>
    <t>29-3-126</t>
  </si>
  <si>
    <t>26-4-126</t>
  </si>
  <si>
    <t>7-4-126</t>
  </si>
  <si>
    <t>30-3-126</t>
  </si>
  <si>
    <t>3-5</t>
  </si>
  <si>
    <t>31-3-126</t>
  </si>
  <si>
    <t>2-4-126</t>
  </si>
  <si>
    <t>3-4-126</t>
  </si>
  <si>
    <t>4-4-126</t>
  </si>
  <si>
    <t>8-15</t>
  </si>
  <si>
    <t>5-4-126</t>
  </si>
  <si>
    <t>12-4-126</t>
  </si>
  <si>
    <t>[..]-11</t>
  </si>
  <si>
    <t>8-4-126</t>
  </si>
  <si>
    <t>12-15</t>
  </si>
  <si>
    <t>9-4-126</t>
  </si>
  <si>
    <t>16-17</t>
  </si>
  <si>
    <t>13-4-126</t>
  </si>
  <si>
    <t>14-4-126</t>
  </si>
  <si>
    <t>17-4-126</t>
  </si>
  <si>
    <t>18-19</t>
  </si>
  <si>
    <t>15-4-126</t>
  </si>
  <si>
    <t>16-4-126</t>
  </si>
  <si>
    <t>20-22</t>
  </si>
  <si>
    <t>19-4-126</t>
  </si>
  <si>
    <t>18-4-126</t>
  </si>
  <si>
    <t>20-4-126</t>
  </si>
  <si>
    <t>21-4-126</t>
  </si>
  <si>
    <t>25-e</t>
  </si>
  <si>
    <t>22-4-126</t>
  </si>
  <si>
    <t>23-8-126</t>
  </si>
  <si>
    <t>1-9-126</t>
  </si>
  <si>
    <t>2-9-126</t>
  </si>
  <si>
    <t>11-9-126</t>
  </si>
  <si>
    <t>12-9-126</t>
  </si>
  <si>
    <t>20-9-126</t>
  </si>
  <si>
    <t>26-e</t>
  </si>
  <si>
    <t>17-9-126</t>
  </si>
  <si>
    <t>17-2-125</t>
  </si>
  <si>
    <t>26-2-125</t>
  </si>
  <si>
    <t>27-2-125</t>
  </si>
  <si>
    <t>7-3-125</t>
  </si>
  <si>
    <t>8-3-125</t>
  </si>
  <si>
    <t>16-3-125</t>
  </si>
  <si>
    <t>16-4-125</t>
  </si>
  <si>
    <t>25-4-125</t>
  </si>
  <si>
    <t>26-4-125</t>
  </si>
  <si>
    <t>5-5-125</t>
  </si>
  <si>
    <t>6-5-125</t>
  </si>
  <si>
    <t>14-5-125</t>
  </si>
  <si>
    <t>15-5-125</t>
  </si>
  <si>
    <t>24-5-125</t>
  </si>
  <si>
    <t>25-5-125</t>
  </si>
  <si>
    <t>3-6-125</t>
  </si>
  <si>
    <t>11-15</t>
  </si>
  <si>
    <t>29-5-125</t>
  </si>
  <si>
    <t xml:space="preserve">16-e </t>
  </si>
  <si>
    <t>30-5-125</t>
  </si>
  <si>
    <t>12-6-125</t>
  </si>
  <si>
    <t>4-6-125</t>
  </si>
  <si>
    <t>13-6-125</t>
  </si>
  <si>
    <t>22-6-125</t>
  </si>
  <si>
    <t>[?]</t>
  </si>
  <si>
    <t>20-6-125</t>
  </si>
  <si>
    <t>48?</t>
  </si>
  <si>
    <t>barley: 1(p) 2?!(b)</t>
  </si>
  <si>
    <t>23-6-125</t>
  </si>
  <si>
    <t>2-7-125</t>
  </si>
  <si>
    <t>3-7-125</t>
  </si>
  <si>
    <t>12-7-125</t>
  </si>
  <si>
    <t>13-7-125</t>
  </si>
  <si>
    <t>10-8-125</t>
  </si>
  <si>
    <t>old mustard</t>
  </si>
  <si>
    <t xml:space="preserve">IV </t>
  </si>
  <si>
    <t>22-7-125</t>
  </si>
  <si>
    <t>23-7-125</t>
  </si>
  <si>
    <t>1-8-125</t>
  </si>
  <si>
    <t>168?</t>
  </si>
  <si>
    <t>new mustard (m?)</t>
  </si>
  <si>
    <t>2-8-125</t>
  </si>
  <si>
    <t>[36]+3</t>
  </si>
  <si>
    <t>11-8-125</t>
  </si>
  <si>
    <t>9-9-125</t>
  </si>
  <si>
    <t>[6?]+4</t>
  </si>
  <si>
    <t>20-9-125</t>
  </si>
  <si>
    <t>21-8-125</t>
  </si>
  <si>
    <t>30-9-125</t>
  </si>
  <si>
    <t>31-8-125</t>
  </si>
  <si>
    <t>10-9-125</t>
  </si>
  <si>
    <t>19-9-125</t>
  </si>
  <si>
    <t>29-9-125</t>
  </si>
  <si>
    <t>[..]+24</t>
  </si>
  <si>
    <t>9-10-125</t>
  </si>
  <si>
    <t>24-e</t>
  </si>
  <si>
    <t>3-10-125</t>
  </si>
  <si>
    <t xml:space="preserve"> 26?</t>
  </si>
  <si>
    <t>8-12-125</t>
  </si>
  <si>
    <t>5-1-124</t>
  </si>
  <si>
    <t>17-12-125</t>
  </si>
  <si>
    <t>18-12-125</t>
  </si>
  <si>
    <t>27-12-125</t>
  </si>
  <si>
    <t>16-18</t>
  </si>
  <si>
    <t>23-12-125</t>
  </si>
  <si>
    <t>25-12-125</t>
  </si>
  <si>
    <t>108-113</t>
  </si>
  <si>
    <t>28-12-125</t>
  </si>
  <si>
    <t>6-1-124</t>
  </si>
  <si>
    <t>4-2-124</t>
  </si>
  <si>
    <t>15-1-124</t>
  </si>
  <si>
    <t>8-1-124</t>
  </si>
  <si>
    <t>9-1-124</t>
  </si>
  <si>
    <t>10-1-124</t>
  </si>
  <si>
    <t>12-1-124</t>
  </si>
  <si>
    <t>11-1-124</t>
  </si>
  <si>
    <t>8-10</t>
  </si>
  <si>
    <t>13-1-124</t>
  </si>
  <si>
    <t>8-18</t>
  </si>
  <si>
    <t>23-1-124</t>
  </si>
  <si>
    <t>16-1-124</t>
  </si>
  <si>
    <t>25-1-124</t>
  </si>
  <si>
    <t>22-1-124</t>
  </si>
  <si>
    <t>18-20</t>
  </si>
  <si>
    <t>[19-23]</t>
  </si>
  <si>
    <t>24-1-124</t>
  </si>
  <si>
    <t>28-1-124</t>
  </si>
  <si>
    <t xml:space="preserve"> [..]+0,25</t>
  </si>
  <si>
    <t>[x} + 0.25</t>
  </si>
  <si>
    <t>26-1-124</t>
  </si>
  <si>
    <t>24-25</t>
  </si>
  <si>
    <t>29-1-124</t>
  </si>
  <si>
    <t>30-1-124</t>
  </si>
  <si>
    <t>31-1-124</t>
  </si>
  <si>
    <t>5-5-124</t>
  </si>
  <si>
    <t>14-5-124</t>
  </si>
  <si>
    <t>no traffic due to Arabs</t>
  </si>
  <si>
    <t>5-10</t>
  </si>
  <si>
    <t>9-5-124</t>
  </si>
  <si>
    <t>15-5-124</t>
  </si>
  <si>
    <t>24-5-124</t>
  </si>
  <si>
    <t>25-5-124</t>
  </si>
  <si>
    <t>2-6-124</t>
  </si>
  <si>
    <t>3-6-124</t>
  </si>
  <si>
    <t>1-7-124</t>
  </si>
  <si>
    <t>52-53,5</t>
  </si>
  <si>
    <t>12-6-124</t>
  </si>
  <si>
    <t>13-6-124</t>
  </si>
  <si>
    <t>22-6-124</t>
  </si>
  <si>
    <t>23-6-124</t>
  </si>
  <si>
    <t>29-6-124</t>
  </si>
  <si>
    <t>2-7-124</t>
  </si>
  <si>
    <t>11-7-124</t>
  </si>
  <si>
    <t>12-7-124</t>
  </si>
  <si>
    <t>21-7-124</t>
  </si>
  <si>
    <t>22-7-124</t>
  </si>
  <si>
    <t>31-7-124</t>
  </si>
  <si>
    <t>1-8-124</t>
  </si>
  <si>
    <t>10-8-124</t>
  </si>
  <si>
    <t>5-8-124</t>
  </si>
  <si>
    <t>11-8-124</t>
  </si>
  <si>
    <t>20-8-124</t>
  </si>
  <si>
    <t xml:space="preserve">V  </t>
  </si>
  <si>
    <t>21-8-124</t>
  </si>
  <si>
    <t>29-8-124</t>
  </si>
  <si>
    <t>30-8-124</t>
  </si>
  <si>
    <t>27-9-124</t>
  </si>
  <si>
    <t xml:space="preserve">VI   </t>
  </si>
  <si>
    <t>8-9-124</t>
  </si>
  <si>
    <t>9-9-124</t>
  </si>
  <si>
    <t>18-9-124</t>
  </si>
  <si>
    <t>19-9-124</t>
  </si>
  <si>
    <t>e(+?)</t>
  </si>
  <si>
    <t>new dates (end of month)</t>
  </si>
  <si>
    <t>26-3-123</t>
  </si>
  <si>
    <t>23-4-123</t>
  </si>
  <si>
    <t>4-4-123</t>
  </si>
  <si>
    <t>5-4-123</t>
  </si>
  <si>
    <t>14-4-123</t>
  </si>
  <si>
    <t>[..]-12</t>
  </si>
  <si>
    <t>6-4-123</t>
  </si>
  <si>
    <t>[72]+3</t>
  </si>
  <si>
    <t>13-19</t>
  </si>
  <si>
    <t>7-4-123</t>
  </si>
  <si>
    <t>13-4-123</t>
  </si>
  <si>
    <t>20-21</t>
  </si>
  <si>
    <t>15-4-123</t>
  </si>
  <si>
    <t>24-4-123</t>
  </si>
  <si>
    <t>23-5-123</t>
  </si>
  <si>
    <t>3-5-123</t>
  </si>
  <si>
    <t>4-5-123</t>
  </si>
  <si>
    <t>13-5-123</t>
  </si>
  <si>
    <t>14-5-123</t>
  </si>
  <si>
    <t>22-5-123</t>
  </si>
  <si>
    <t>[..]-25</t>
  </si>
  <si>
    <t>17-5-123</t>
  </si>
  <si>
    <t>18-5-123</t>
  </si>
  <si>
    <t>26-27</t>
  </si>
  <si>
    <t>19-5-123</t>
  </si>
  <si>
    <t>20-5-123</t>
  </si>
  <si>
    <t>21-5-123</t>
  </si>
  <si>
    <t>24-5-123</t>
  </si>
  <si>
    <t>2-6-123</t>
  </si>
  <si>
    <t>3-6-123</t>
  </si>
  <si>
    <t>12-6-123</t>
  </si>
  <si>
    <t>13-6-123</t>
  </si>
  <si>
    <t>21-6-123</t>
  </si>
  <si>
    <t>282-287</t>
  </si>
  <si>
    <t>18-9-123</t>
  </si>
  <si>
    <t>16-10-123</t>
  </si>
  <si>
    <t>28-9-123</t>
  </si>
  <si>
    <t>1-21</t>
  </si>
  <si>
    <t>8-10-123</t>
  </si>
  <si>
    <t>7-10-123</t>
  </si>
  <si>
    <t>11-6-122</t>
  </si>
  <si>
    <t>10-7-123</t>
  </si>
  <si>
    <t>20-4-120</t>
  </si>
  <si>
    <t>19-5-120</t>
  </si>
  <si>
    <t>29-4-120</t>
  </si>
  <si>
    <t>24-4-120</t>
  </si>
  <si>
    <t>6-20</t>
  </si>
  <si>
    <t>25-4-120</t>
  </si>
  <si>
    <t>9-5-120</t>
  </si>
  <si>
    <t>87?</t>
  </si>
  <si>
    <t>2!?(p) 2 (b) 3 qa; Hung 1(p)</t>
  </si>
  <si>
    <t>30-4-120</t>
  </si>
  <si>
    <t>new barley from m to e: 36</t>
  </si>
  <si>
    <t>10-5-120</t>
  </si>
  <si>
    <t xml:space="preserve">33,5 / 36 </t>
  </si>
  <si>
    <t>new barley (var.) 33,5</t>
  </si>
  <si>
    <t>20-5-120</t>
  </si>
  <si>
    <t>17-6-120</t>
  </si>
  <si>
    <t>29-5-120</t>
  </si>
  <si>
    <t>[6]+4</t>
  </si>
  <si>
    <t>25-5-120</t>
  </si>
  <si>
    <t>6-10</t>
  </si>
  <si>
    <t>11-22</t>
  </si>
  <si>
    <t>30-5-120</t>
  </si>
  <si>
    <t>10-6-120</t>
  </si>
  <si>
    <t>1-13</t>
  </si>
  <si>
    <t>7-6-120</t>
  </si>
  <si>
    <t>14-20</t>
  </si>
  <si>
    <t>2-6-120</t>
  </si>
  <si>
    <t>8-6-120</t>
  </si>
  <si>
    <t>9-6-120</t>
  </si>
  <si>
    <t>72!+18?</t>
  </si>
  <si>
    <t>23-e</t>
  </si>
  <si>
    <t>11-6-120</t>
  </si>
  <si>
    <t>18-6-120</t>
  </si>
  <si>
    <t>17-7-120</t>
  </si>
  <si>
    <t>27-6-120</t>
  </si>
  <si>
    <t>28-6-120</t>
  </si>
  <si>
    <t>7-7-120</t>
  </si>
  <si>
    <t>8-7-120</t>
  </si>
  <si>
    <t>9-4-119</t>
  </si>
  <si>
    <t>8-5-119</t>
  </si>
  <si>
    <t>18-4-119</t>
  </si>
  <si>
    <t>11-4-119</t>
  </si>
  <si>
    <t>4-9</t>
  </si>
  <si>
    <t>12-4-119</t>
  </si>
  <si>
    <t>17-4-119</t>
  </si>
  <si>
    <t>10</t>
  </si>
  <si>
    <t>19-4-119</t>
  </si>
  <si>
    <t>28-4-119</t>
  </si>
  <si>
    <t>20-4-119</t>
  </si>
  <si>
    <t>13</t>
  </si>
  <si>
    <t>21-4-119</t>
  </si>
  <si>
    <t>14-17</t>
  </si>
  <si>
    <t>22-4-119</t>
  </si>
  <si>
    <t>25-4-119</t>
  </si>
  <si>
    <t>26-4-119</t>
  </si>
  <si>
    <t>19</t>
  </si>
  <si>
    <t>27-4-119</t>
  </si>
  <si>
    <t>29-4-119</t>
  </si>
  <si>
    <t>19-24</t>
  </si>
  <si>
    <t>2-5-119</t>
  </si>
  <si>
    <t>25</t>
  </si>
  <si>
    <t>3-5-119</t>
  </si>
  <si>
    <t>4-5-119</t>
  </si>
  <si>
    <t>5-5-119</t>
  </si>
  <si>
    <t>6-5-119</t>
  </si>
  <si>
    <t>7-5-119</t>
  </si>
  <si>
    <t>36+[18?]</t>
  </si>
  <si>
    <t>4-10-119</t>
  </si>
  <si>
    <t>2-11-119</t>
  </si>
  <si>
    <t>20?</t>
  </si>
  <si>
    <t>13-10-119</t>
  </si>
  <si>
    <t>8-10-119</t>
  </si>
  <si>
    <t>1-20</t>
  </si>
  <si>
    <t>23-10-119</t>
  </si>
  <si>
    <t>9-10-119</t>
  </si>
  <si>
    <t>12-10-119</t>
  </si>
  <si>
    <t>14-10-119</t>
  </si>
  <si>
    <t>10-13</t>
  </si>
  <si>
    <t>16-10-119</t>
  </si>
  <si>
    <t>14-19</t>
  </si>
  <si>
    <t>17-10-119</t>
  </si>
  <si>
    <t>22-10-119</t>
  </si>
  <si>
    <t>20-e</t>
  </si>
  <si>
    <t>24-10-119</t>
  </si>
  <si>
    <t>61-63</t>
  </si>
  <si>
    <t>25-10-119</t>
  </si>
  <si>
    <t>23-10-118</t>
  </si>
  <si>
    <t>1-11-118</t>
  </si>
  <si>
    <t>2-11-118</t>
  </si>
  <si>
    <t>11-11-118</t>
  </si>
  <si>
    <t>18-24</t>
  </si>
  <si>
    <t>9-11-118</t>
  </si>
  <si>
    <t>15-11-118</t>
  </si>
  <si>
    <t>12-11-118</t>
  </si>
  <si>
    <t>21-11-118</t>
  </si>
  <si>
    <t>25-30</t>
  </si>
  <si>
    <t>16-11-118</t>
  </si>
  <si>
    <t>168-173</t>
  </si>
  <si>
    <t>-m</t>
  </si>
  <si>
    <t>20-1-117</t>
  </si>
  <si>
    <t>13-2-117</t>
  </si>
  <si>
    <t>18-2-117</t>
  </si>
  <si>
    <t>18-3-117</t>
  </si>
  <si>
    <t>27-2-117</t>
  </si>
  <si>
    <t>1-6</t>
  </si>
  <si>
    <t>23-2-117</t>
  </si>
  <si>
    <t>7-e</t>
  </si>
  <si>
    <t>24-2-117</t>
  </si>
  <si>
    <t>28-2-117</t>
  </si>
  <si>
    <t>8-3-117</t>
  </si>
  <si>
    <t>9-3-117</t>
  </si>
  <si>
    <t>28-9-113</t>
  </si>
  <si>
    <t>7-10-113</t>
  </si>
  <si>
    <t>[12/18]+2,5</t>
  </si>
  <si>
    <t>8-10-113</t>
  </si>
  <si>
    <t>17-10-113</t>
  </si>
  <si>
    <t>22-10-113</t>
  </si>
  <si>
    <t>18-10-113</t>
  </si>
  <si>
    <t>26-10-113</t>
  </si>
  <si>
    <t>23-10-113</t>
  </si>
  <si>
    <t>21-2-112</t>
  </si>
  <si>
    <t>22-3-112</t>
  </si>
  <si>
    <t>22-4-112</t>
  </si>
  <si>
    <t>20-5-112</t>
  </si>
  <si>
    <t>1-5-112</t>
  </si>
  <si>
    <t>1-4</t>
  </si>
  <si>
    <t>25-4-112</t>
  </si>
  <si>
    <t>27-4-112</t>
  </si>
  <si>
    <t>5-12</t>
  </si>
  <si>
    <t>26-4-112</t>
  </si>
  <si>
    <t>3-5-112</t>
  </si>
  <si>
    <t>28-4-112</t>
  </si>
  <si>
    <t>16,25?</t>
  </si>
  <si>
    <t>2-5-112</t>
  </si>
  <si>
    <t>11-5-112</t>
  </si>
  <si>
    <t>4-5-112</t>
  </si>
  <si>
    <t>10-5-112</t>
  </si>
  <si>
    <t>13-e</t>
  </si>
  <si>
    <t>not good dates: 240</t>
  </si>
  <si>
    <t>12-5-112</t>
  </si>
  <si>
    <t>21-5-112</t>
  </si>
  <si>
    <t>19-6-112</t>
  </si>
  <si>
    <t>30-5-112</t>
  </si>
  <si>
    <t>270 or 450</t>
  </si>
  <si>
    <t>31-5-112</t>
  </si>
  <si>
    <t>9-6-112</t>
  </si>
  <si>
    <t>10-6-112</t>
  </si>
  <si>
    <t>20-6-112</t>
  </si>
  <si>
    <t>19-7-112</t>
  </si>
  <si>
    <t>20-7-112</t>
  </si>
  <si>
    <t>18-8-112</t>
  </si>
  <si>
    <t>29-7-112</t>
  </si>
  <si>
    <t xml:space="preserve">       </t>
  </si>
  <si>
    <t>[..]-4</t>
  </si>
  <si>
    <t>23-7-112</t>
  </si>
  <si>
    <t xml:space="preserve">      198?</t>
  </si>
  <si>
    <t>24-7-112</t>
  </si>
  <si>
    <t>26-7-112</t>
  </si>
  <si>
    <t>30-7-112</t>
  </si>
  <si>
    <t>8-8-112</t>
  </si>
  <si>
    <t>9-8-112</t>
  </si>
  <si>
    <t>8-8-111</t>
  </si>
  <si>
    <t>17-8-111</t>
  </si>
  <si>
    <t>18-8-111</t>
  </si>
  <si>
    <t>27-8-111</t>
  </si>
  <si>
    <t>28-9-111</t>
  </si>
  <si>
    <t>6-9-111</t>
  </si>
  <si>
    <t>25-10-110</t>
  </si>
  <si>
    <t>22-11-110</t>
  </si>
  <si>
    <t>3-11-110</t>
  </si>
  <si>
    <t xml:space="preserve">     </t>
  </si>
  <si>
    <t>4-11-110</t>
  </si>
  <si>
    <t>13-11-110</t>
  </si>
  <si>
    <t xml:space="preserve">  </t>
  </si>
  <si>
    <t>14-11-110</t>
  </si>
  <si>
    <t>19-4-109</t>
  </si>
  <si>
    <t>17-5-109</t>
  </si>
  <si>
    <t>[n]x6</t>
  </si>
  <si>
    <t>28-4-109</t>
  </si>
  <si>
    <t>20-4-109</t>
  </si>
  <si>
    <t>29-4-109</t>
  </si>
  <si>
    <t>8-5-109</t>
  </si>
  <si>
    <t>9-5-109</t>
  </si>
  <si>
    <t>18-5-109</t>
  </si>
  <si>
    <t>27-5-109</t>
  </si>
  <si>
    <t>[..]+25?</t>
  </si>
  <si>
    <t>28-5-109</t>
  </si>
  <si>
    <t>6-6-109</t>
  </si>
  <si>
    <t>7-6-109</t>
  </si>
  <si>
    <t>15-6-109</t>
  </si>
  <si>
    <t>16-7-109</t>
  </si>
  <si>
    <t>14-8-109</t>
  </si>
  <si>
    <t>25-7-109</t>
  </si>
  <si>
    <t>26-7-109</t>
  </si>
  <si>
    <t>4-8-109</t>
  </si>
  <si>
    <t>5-8-109</t>
  </si>
  <si>
    <t>13-9-109</t>
  </si>
  <si>
    <t>12-10-109</t>
  </si>
  <si>
    <t>72?-107</t>
  </si>
  <si>
    <t>13-10-109</t>
  </si>
  <si>
    <t>11-11-109</t>
  </si>
  <si>
    <t>22-10-109</t>
  </si>
  <si>
    <t>23-10-109</t>
  </si>
  <si>
    <t>1-11-109</t>
  </si>
  <si>
    <t>2-11-109</t>
  </si>
  <si>
    <t>5-7-108</t>
  </si>
  <si>
    <t>3-8-108</t>
  </si>
  <si>
    <t>14-7-108</t>
  </si>
  <si>
    <t>1-11</t>
  </si>
  <si>
    <t>15-7-108</t>
  </si>
  <si>
    <t>24-7-108</t>
  </si>
  <si>
    <t>12-14</t>
  </si>
  <si>
    <t>16-7-108</t>
  </si>
  <si>
    <t>18-7-108</t>
  </si>
  <si>
    <t>25-7-108</t>
  </si>
  <si>
    <t>2-9-108</t>
  </si>
  <si>
    <t>1-10-108</t>
  </si>
  <si>
    <t>2-10-108</t>
  </si>
  <si>
    <t>30-10-108</t>
  </si>
  <si>
    <t>11-10-108</t>
  </si>
  <si>
    <t>12-10-108</t>
  </si>
  <si>
    <t>20-10-108</t>
  </si>
  <si>
    <t>17</t>
  </si>
  <si>
    <t>18-10-108</t>
  </si>
  <si>
    <t>[..]-26</t>
  </si>
  <si>
    <t>26-10-108</t>
  </si>
  <si>
    <t>27-10-108</t>
  </si>
  <si>
    <t>22-10-108</t>
  </si>
  <si>
    <t>31-10-108</t>
  </si>
  <si>
    <t>29-11-108</t>
  </si>
  <si>
    <t>9-11-108</t>
  </si>
  <si>
    <t>10-11-108</t>
  </si>
  <si>
    <t>19-11-108</t>
  </si>
  <si>
    <t>20-11-108</t>
  </si>
  <si>
    <t>[..]-27</t>
  </si>
  <si>
    <t>25-11-108</t>
  </si>
  <si>
    <t>26-11-108</t>
  </si>
  <si>
    <t>[72]+24?</t>
  </si>
  <si>
    <t>28-30</t>
  </si>
  <si>
    <t>27-11-108</t>
  </si>
  <si>
    <t>30-11-108</t>
  </si>
  <si>
    <t>29-12-108</t>
  </si>
  <si>
    <t>9-12-108</t>
  </si>
  <si>
    <t>4-12-108</t>
  </si>
  <si>
    <t>10-12-108</t>
  </si>
  <si>
    <t>19-12-108</t>
  </si>
  <si>
    <t>20-12-108</t>
  </si>
  <si>
    <t>25-27</t>
  </si>
  <si>
    <t>24-12-108</t>
  </si>
  <si>
    <t>26-12-108</t>
  </si>
  <si>
    <t>27-12-108</t>
  </si>
  <si>
    <t>29-30</t>
  </si>
  <si>
    <t>28-12-108</t>
  </si>
  <si>
    <t>29-1-107</t>
  </si>
  <si>
    <t>7-2-107</t>
  </si>
  <si>
    <t>1-28</t>
  </si>
  <si>
    <t>25-2-107</t>
  </si>
  <si>
    <t>8-2-107</t>
  </si>
  <si>
    <t>17-2-107</t>
  </si>
  <si>
    <t>9-2-107</t>
  </si>
  <si>
    <t>not good barley: 31,5</t>
  </si>
  <si>
    <t>13-14</t>
  </si>
  <si>
    <t>10-2-107</t>
  </si>
  <si>
    <t>11-2-107</t>
  </si>
  <si>
    <t xml:space="preserve">15-16   </t>
  </si>
  <si>
    <t>12-2-107</t>
  </si>
  <si>
    <t>13-2-107</t>
  </si>
  <si>
    <t>17-e</t>
  </si>
  <si>
    <t>14-2-107</t>
  </si>
  <si>
    <t>26-2-107</t>
  </si>
  <si>
    <t>18-2-107</t>
  </si>
  <si>
    <t>27-2-107</t>
  </si>
  <si>
    <t>28-3-107</t>
  </si>
  <si>
    <t>8-3-107</t>
  </si>
  <si>
    <t>16-3-107</t>
  </si>
  <si>
    <t>9-3-107</t>
  </si>
  <si>
    <t>18-3-107</t>
  </si>
  <si>
    <t>17-3-107</t>
  </si>
  <si>
    <t>19-3-107</t>
  </si>
  <si>
    <t>20-3-107</t>
  </si>
  <si>
    <t>21-3-107</t>
  </si>
  <si>
    <t>22-3-107</t>
  </si>
  <si>
    <t>108?-143</t>
  </si>
  <si>
    <t>17-4-106</t>
  </si>
  <si>
    <t>15-5-106</t>
  </si>
  <si>
    <t>1-5-106</t>
  </si>
  <si>
    <t>1-10</t>
  </si>
  <si>
    <t>26-4-106</t>
  </si>
  <si>
    <t>11-26</t>
  </si>
  <si>
    <t>27-4-106</t>
  </si>
  <si>
    <t>12-5-106</t>
  </si>
  <si>
    <t>30-4-106</t>
  </si>
  <si>
    <t>15</t>
  </si>
  <si>
    <t>16-e</t>
  </si>
  <si>
    <t>2-5-106</t>
  </si>
  <si>
    <t>7-5-106</t>
  </si>
  <si>
    <t>13-5-106</t>
  </si>
  <si>
    <t>16-5-106</t>
  </si>
  <si>
    <t>19-5-106</t>
  </si>
  <si>
    <t>21-5-106</t>
  </si>
  <si>
    <t>22-5-106</t>
  </si>
  <si>
    <t>8-e</t>
  </si>
  <si>
    <t>23-5-106</t>
  </si>
  <si>
    <t>13-6-106</t>
  </si>
  <si>
    <t>7-13</t>
  </si>
  <si>
    <t>28-5-106</t>
  </si>
  <si>
    <t>26-5-106</t>
  </si>
  <si>
    <t>4-5-106</t>
  </si>
  <si>
    <t>new cress</t>
  </si>
  <si>
    <t>5-6-106</t>
  </si>
  <si>
    <t>14-6-106</t>
  </si>
  <si>
    <t>13-7-106</t>
  </si>
  <si>
    <t>23-6-106</t>
  </si>
  <si>
    <t>24-6-106</t>
  </si>
  <si>
    <t>4-7-106</t>
  </si>
  <si>
    <t>12-8-106</t>
  </si>
  <si>
    <t>9-9-106</t>
  </si>
  <si>
    <t>21-8-106</t>
  </si>
  <si>
    <t xml:space="preserve"> 8?</t>
  </si>
  <si>
    <t>22-8-106</t>
  </si>
  <si>
    <t>31-8-106</t>
  </si>
  <si>
    <t>1-9-106</t>
  </si>
  <si>
    <t>10-9-106</t>
  </si>
  <si>
    <t>9-10-106</t>
  </si>
  <si>
    <t>barley: part of month unknown</t>
  </si>
  <si>
    <t>19-9-106</t>
  </si>
  <si>
    <t>20-9-106</t>
  </si>
  <si>
    <t>29-9-106</t>
  </si>
  <si>
    <t>30-9-106</t>
  </si>
  <si>
    <t>10-10-106</t>
  </si>
  <si>
    <t>7-11-106</t>
  </si>
  <si>
    <t>30-8-105</t>
  </si>
  <si>
    <t>27-9-105</t>
  </si>
  <si>
    <t>8-9-105</t>
  </si>
  <si>
    <t>31-8-105</t>
  </si>
  <si>
    <t>4-9-105</t>
  </si>
  <si>
    <t>3-10</t>
  </si>
  <si>
    <t>1-9-105</t>
  </si>
  <si>
    <t>9-9-105</t>
  </si>
  <si>
    <t>18-9-105</t>
  </si>
  <si>
    <t>19-9-105</t>
  </si>
  <si>
    <t>24-4-104</t>
  </si>
  <si>
    <t>22-5-104</t>
  </si>
  <si>
    <t xml:space="preserve"> 9?</t>
  </si>
  <si>
    <t>3-5-104</t>
  </si>
  <si>
    <t>4-5-104</t>
  </si>
  <si>
    <t>13-5-104</t>
  </si>
  <si>
    <t>12-[..]</t>
  </si>
  <si>
    <t>5-5-104</t>
  </si>
  <si>
    <t>8-5-104</t>
  </si>
  <si>
    <t>9-5-104</t>
  </si>
  <si>
    <t>14-5-104</t>
  </si>
  <si>
    <t>21-29</t>
  </si>
  <si>
    <t>16-11-104</t>
  </si>
  <si>
    <t>25-11-104</t>
  </si>
  <si>
    <t>21-11-104</t>
  </si>
  <si>
    <t>10-e</t>
  </si>
  <si>
    <t>30-11-104</t>
  </si>
  <si>
    <t>26-11-104</t>
  </si>
  <si>
    <t>5-12-104</t>
  </si>
  <si>
    <t>6-12-104</t>
  </si>
  <si>
    <t>14-12-104</t>
  </si>
  <si>
    <t>8-12-104</t>
  </si>
  <si>
    <t>4-10-100</t>
  </si>
  <si>
    <t>2-11-100</t>
  </si>
  <si>
    <t>(m?)</t>
  </si>
  <si>
    <t>14-10-100</t>
  </si>
  <si>
    <t>23-10-100</t>
  </si>
  <si>
    <t>2-12-100</t>
  </si>
  <si>
    <t>31-12-100</t>
  </si>
  <si>
    <t>6-4-097</t>
  </si>
  <si>
    <t>5-5-097</t>
  </si>
  <si>
    <t>15-4-097</t>
  </si>
  <si>
    <t>1-9</t>
  </si>
  <si>
    <t>14-4-097</t>
  </si>
  <si>
    <t>10-11</t>
  </si>
  <si>
    <t>16-4-097</t>
  </si>
  <si>
    <t>25-4-097</t>
  </si>
  <si>
    <t>12-e</t>
  </si>
  <si>
    <t>17-4-097</t>
  </si>
  <si>
    <t>26-4-097</t>
  </si>
  <si>
    <t>28-11-097</t>
  </si>
  <si>
    <t>27-12-097</t>
  </si>
  <si>
    <t>7-12-097</t>
  </si>
  <si>
    <t>9-12-097</t>
  </si>
  <si>
    <t>44-45</t>
  </si>
  <si>
    <t>8-12-097</t>
  </si>
  <si>
    <t>17-12-097</t>
  </si>
  <si>
    <t>18-12-097</t>
  </si>
  <si>
    <t xml:space="preserve">XI    </t>
  </si>
  <si>
    <t>26-1-096</t>
  </si>
  <si>
    <t>24-2-096</t>
  </si>
  <si>
    <t>5-2-096</t>
  </si>
  <si>
    <t>14-2-096</t>
  </si>
  <si>
    <t>[13]+0,25</t>
  </si>
  <si>
    <t>15-2-096</t>
  </si>
  <si>
    <t>13?</t>
  </si>
  <si>
    <t>x-28?</t>
  </si>
  <si>
    <t>21-2-096</t>
  </si>
  <si>
    <t>22-2-096</t>
  </si>
  <si>
    <t>[30]+3,25</t>
  </si>
  <si>
    <t>[Barley]; or dates?</t>
  </si>
  <si>
    <t>23-2-096</t>
  </si>
  <si>
    <t>27-3-096</t>
  </si>
  <si>
    <t>24-4-096</t>
  </si>
  <si>
    <t xml:space="preserve">I     </t>
  </si>
  <si>
    <t>5-4-096</t>
  </si>
  <si>
    <t>[..]-7!</t>
  </si>
  <si>
    <t>1-4-096</t>
  </si>
  <si>
    <t>2-4-096</t>
  </si>
  <si>
    <t>[dates]: or barley?</t>
  </si>
  <si>
    <t>8-9</t>
  </si>
  <si>
    <t>3-4-096</t>
  </si>
  <si>
    <t>4-4-096</t>
  </si>
  <si>
    <t>6-4-096</t>
  </si>
  <si>
    <t>15-4-096</t>
  </si>
  <si>
    <t>12-13</t>
  </si>
  <si>
    <t>7-4-096</t>
  </si>
  <si>
    <t>8-4-096</t>
  </si>
  <si>
    <t>[..]-15</t>
  </si>
  <si>
    <t>9-4-096</t>
  </si>
  <si>
    <t>10-4-096</t>
  </si>
  <si>
    <t>16-19</t>
  </si>
  <si>
    <t>11-4-096</t>
  </si>
  <si>
    <t>14-4-096</t>
  </si>
  <si>
    <t>54!?</t>
  </si>
  <si>
    <t>1(p) 3?!(b) so Vargyas</t>
  </si>
  <si>
    <t>16-4-096</t>
  </si>
  <si>
    <t>19-4-096</t>
  </si>
  <si>
    <t>20-4-096</t>
  </si>
  <si>
    <t>18-4-096</t>
  </si>
  <si>
    <t>6[+max5]</t>
  </si>
  <si>
    <t>25-4-096</t>
  </si>
  <si>
    <t>24-5-096</t>
  </si>
  <si>
    <t>4-5-096</t>
  </si>
  <si>
    <t>5-5-096</t>
  </si>
  <si>
    <t>14-5-096</t>
  </si>
  <si>
    <t>15-5-096</t>
  </si>
  <si>
    <t>23-5-096</t>
  </si>
  <si>
    <t>23-7-096</t>
  </si>
  <si>
    <t>20-8-096</t>
  </si>
  <si>
    <t>1-15</t>
  </si>
  <si>
    <t>6-8-096</t>
  </si>
  <si>
    <t>48-71</t>
  </si>
  <si>
    <t>barley: 1(p) 2+(b)[...</t>
  </si>
  <si>
    <t>2-8-096</t>
  </si>
  <si>
    <t>11-8-096</t>
  </si>
  <si>
    <t>12-8-096</t>
  </si>
  <si>
    <t>21-8-096</t>
  </si>
  <si>
    <t>19-9-096</t>
  </si>
  <si>
    <t>1-m</t>
  </si>
  <si>
    <t>4-9-096</t>
  </si>
  <si>
    <t>5-9-096</t>
  </si>
  <si>
    <t>[1]-16</t>
  </si>
  <si>
    <t>6-9-096</t>
  </si>
  <si>
    <t>10-9-096</t>
  </si>
  <si>
    <t>14-4-095</t>
  </si>
  <si>
    <t>13-5-095</t>
  </si>
  <si>
    <t>23-4-095</t>
  </si>
  <si>
    <t>21-4-095</t>
  </si>
  <si>
    <t>24-4-095</t>
  </si>
  <si>
    <t>3-5-095</t>
  </si>
  <si>
    <t>4-5-095</t>
  </si>
  <si>
    <t>14-5-095</t>
  </si>
  <si>
    <t>12-6-095</t>
  </si>
  <si>
    <t>23-5-095</t>
  </si>
  <si>
    <t>24-5-095</t>
  </si>
  <si>
    <t>2-6-095</t>
  </si>
  <si>
    <t>[b-21]</t>
  </si>
  <si>
    <t>3-6-095</t>
  </si>
  <si>
    <t>[36 or 72]+31</t>
  </si>
  <si>
    <t>(old barley)</t>
  </si>
  <si>
    <t>22-e</t>
  </si>
  <si>
    <t>4-6-095</t>
  </si>
  <si>
    <t>[6]+5,25</t>
  </si>
  <si>
    <t>1-7-094</t>
  </si>
  <si>
    <t>30-7-094</t>
  </si>
  <si>
    <t>10-7-094</t>
  </si>
  <si>
    <t>11-7-094</t>
  </si>
  <si>
    <t>20-7-094</t>
  </si>
  <si>
    <t>21-7-094</t>
  </si>
  <si>
    <t>not good barley: 135</t>
  </si>
  <si>
    <t>31-7-094</t>
  </si>
  <si>
    <t>29-8-094</t>
  </si>
  <si>
    <t>9-8-094</t>
  </si>
  <si>
    <t>14-8-094</t>
  </si>
  <si>
    <t>10-8-094</t>
  </si>
  <si>
    <t>19-8-094</t>
  </si>
  <si>
    <t>15-8-094</t>
  </si>
  <si>
    <t>20-8-094</t>
  </si>
  <si>
    <t>11-e</t>
  </si>
  <si>
    <t>3-2-093</t>
  </si>
  <si>
    <t>21-2-093</t>
  </si>
  <si>
    <t>CT 49. 150:8</t>
  </si>
  <si>
    <t>22-2-093</t>
  </si>
  <si>
    <t>4-3-093</t>
  </si>
  <si>
    <t>CT 49, 150:8</t>
  </si>
  <si>
    <t>5-3-093</t>
  </si>
  <si>
    <t>22-3-093</t>
  </si>
  <si>
    <t>BRM 1, 99:5</t>
  </si>
  <si>
    <t>23-3-093</t>
  </si>
  <si>
    <t>2-4-093</t>
  </si>
  <si>
    <t>24-10-091</t>
  </si>
  <si>
    <t>22-11-091</t>
  </si>
  <si>
    <t>2-11-091</t>
  </si>
  <si>
    <t>28-10-091</t>
  </si>
  <si>
    <t xml:space="preserve">[..]-18 </t>
  </si>
  <si>
    <t>9-11-091</t>
  </si>
  <si>
    <t>10-11-091</t>
  </si>
  <si>
    <t>3-11-091</t>
  </si>
  <si>
    <t>12-11-091</t>
  </si>
  <si>
    <t>11-11-091</t>
  </si>
  <si>
    <t>13-11-091</t>
  </si>
  <si>
    <t xml:space="preserve">22-23 </t>
  </si>
  <si>
    <t>14-11-091</t>
  </si>
  <si>
    <t>15-11-091</t>
  </si>
  <si>
    <t>16-11-091</t>
  </si>
  <si>
    <t>23-11-091</t>
  </si>
  <si>
    <t>21-12-091</t>
  </si>
  <si>
    <t>2-12-091</t>
  </si>
  <si>
    <t>[..]-9</t>
  </si>
  <si>
    <t>30-11-091</t>
  </si>
  <si>
    <t>1-12-091</t>
  </si>
  <si>
    <t>5-12-091</t>
  </si>
  <si>
    <t>3-12-091</t>
  </si>
  <si>
    <t>12-12-091</t>
  </si>
  <si>
    <t>14-15</t>
  </si>
  <si>
    <t>6-12-091</t>
  </si>
  <si>
    <t>7-12-091</t>
  </si>
  <si>
    <t>8-12-091</t>
  </si>
  <si>
    <t>41,5?</t>
  </si>
  <si>
    <t>17a</t>
  </si>
  <si>
    <t>9-12-091</t>
  </si>
  <si>
    <t>in the morning</t>
  </si>
  <si>
    <t>17b</t>
  </si>
  <si>
    <t>in the afternoon</t>
  </si>
  <si>
    <t>[..]-18</t>
  </si>
  <si>
    <t>10-12-091</t>
  </si>
  <si>
    <t>19-26</t>
  </si>
  <si>
    <t>11-12-091</t>
  </si>
  <si>
    <t>18-12-091</t>
  </si>
  <si>
    <t>13-12-091</t>
  </si>
  <si>
    <t>22-12-091</t>
  </si>
  <si>
    <t>20-1-090</t>
  </si>
  <si>
    <t>31-12-091</t>
  </si>
  <si>
    <t>25-12-091</t>
  </si>
  <si>
    <t>1-7</t>
  </si>
  <si>
    <t>28-12-091</t>
  </si>
  <si>
    <t>5-8</t>
  </si>
  <si>
    <t>26-12-091</t>
  </si>
  <si>
    <t>29-12-091</t>
  </si>
  <si>
    <t>48-53</t>
  </si>
  <si>
    <t>9-[..]</t>
  </si>
  <si>
    <t>30-12-091</t>
  </si>
  <si>
    <t>1-1-090</t>
  </si>
  <si>
    <t>10-1-090</t>
  </si>
  <si>
    <t>[..]-16</t>
  </si>
  <si>
    <t>6-1-090</t>
  </si>
  <si>
    <t>17-20</t>
  </si>
  <si>
    <t>7-1-090</t>
  </si>
  <si>
    <t>11-1-090</t>
  </si>
  <si>
    <t>21-1-090</t>
  </si>
  <si>
    <t>18-2-090</t>
  </si>
  <si>
    <t>30-1-090</t>
  </si>
  <si>
    <t>26-1-090</t>
  </si>
  <si>
    <t>6-12</t>
  </si>
  <si>
    <t>1-2-090</t>
  </si>
  <si>
    <t>31-1-090</t>
  </si>
  <si>
    <t>9-2-090</t>
  </si>
  <si>
    <t>10-2-090</t>
  </si>
  <si>
    <t>17-2-090</t>
  </si>
  <si>
    <t>29-11-089</t>
  </si>
  <si>
    <t>28-12-089</t>
  </si>
  <si>
    <t>29-12-089</t>
  </si>
  <si>
    <t>27-1-088</t>
  </si>
  <si>
    <t>28-3-088</t>
  </si>
  <si>
    <t>26-4-088</t>
  </si>
  <si>
    <t>6-4-088</t>
  </si>
  <si>
    <t>5-4-088</t>
  </si>
  <si>
    <t>[1]-5</t>
  </si>
  <si>
    <t>1-4-088</t>
  </si>
  <si>
    <t>7-4-088</t>
  </si>
  <si>
    <t>16-4-088</t>
  </si>
  <si>
    <t>17-4-088</t>
  </si>
  <si>
    <t>22-8-088</t>
  </si>
  <si>
    <t>25-8-088</t>
  </si>
  <si>
    <t>26-8-088</t>
  </si>
  <si>
    <t>29-8-088</t>
  </si>
  <si>
    <t>9-16</t>
  </si>
  <si>
    <t>30-8-088</t>
  </si>
  <si>
    <t>6-9-088</t>
  </si>
  <si>
    <t>1-9-088</t>
  </si>
  <si>
    <t>10-9-088</t>
  </si>
  <si>
    <t>4-9-088</t>
  </si>
  <si>
    <t>5-9-088</t>
  </si>
  <si>
    <t>7-9-088</t>
  </si>
  <si>
    <t>8-9-088</t>
  </si>
  <si>
    <t>9-9-088</t>
  </si>
  <si>
    <t>11-9-088</t>
  </si>
  <si>
    <t>20-9-088</t>
  </si>
  <si>
    <t>21-9-088</t>
  </si>
  <si>
    <t>19-10-088</t>
  </si>
  <si>
    <t>30-9-088</t>
  </si>
  <si>
    <t>23-9-088</t>
  </si>
  <si>
    <t>4-6</t>
  </si>
  <si>
    <t>24-9-088</t>
  </si>
  <si>
    <t>26-9-088</t>
  </si>
  <si>
    <t>1-10-088</t>
  </si>
  <si>
    <t>10-10-088</t>
  </si>
  <si>
    <t>11-10-088</t>
  </si>
  <si>
    <t>17-1-087</t>
  </si>
  <si>
    <t>26-1-087</t>
  </si>
  <si>
    <t>[1]-6</t>
  </si>
  <si>
    <t>22-1-087</t>
  </si>
  <si>
    <t>[..]+1,375</t>
  </si>
  <si>
    <t>6-e</t>
  </si>
  <si>
    <t>15-2-087</t>
  </si>
  <si>
    <t>27-1-087</t>
  </si>
  <si>
    <t>5-2-087</t>
  </si>
  <si>
    <t>11-2-087</t>
  </si>
  <si>
    <t>12-2-087</t>
  </si>
  <si>
    <t>6-2-087</t>
  </si>
  <si>
    <t>13-2-087</t>
  </si>
  <si>
    <t>16-2-087</t>
  </si>
  <si>
    <t>17-3-087</t>
  </si>
  <si>
    <t>25-2-087</t>
  </si>
  <si>
    <t>[1]-23</t>
  </si>
  <si>
    <t>10-3-087</t>
  </si>
  <si>
    <t>1-24</t>
  </si>
  <si>
    <t>11-3-087</t>
  </si>
  <si>
    <t>26-2-087</t>
  </si>
  <si>
    <t>6-3-087</t>
  </si>
  <si>
    <t>7-3-087</t>
  </si>
  <si>
    <t>16-3-087</t>
  </si>
  <si>
    <t>24-27</t>
  </si>
  <si>
    <t>14-3-087</t>
  </si>
  <si>
    <t>12-3-087</t>
  </si>
  <si>
    <t>15-3-087</t>
  </si>
  <si>
    <t>18-3-087</t>
  </si>
  <si>
    <t>16-4-087</t>
  </si>
  <si>
    <t>27-3-087</t>
  </si>
  <si>
    <t>28-3-087</t>
  </si>
  <si>
    <t>6-4-087</t>
  </si>
  <si>
    <t>31-3-087</t>
  </si>
  <si>
    <t>1-4-087</t>
  </si>
  <si>
    <t>2-4-087</t>
  </si>
  <si>
    <t>7-4-087</t>
  </si>
  <si>
    <t>8-4-087</t>
  </si>
  <si>
    <t>16-5-087</t>
  </si>
  <si>
    <t>13-6-087</t>
  </si>
  <si>
    <t>12-17</t>
  </si>
  <si>
    <t>25-5-087</t>
  </si>
  <si>
    <t>19-5-087</t>
  </si>
  <si>
    <t>[barley .. 1] PI 4 qa</t>
  </si>
  <si>
    <t>5-9</t>
  </si>
  <si>
    <t>20-5-087</t>
  </si>
  <si>
    <t>24-5-087</t>
  </si>
  <si>
    <t>26-5-087</t>
  </si>
  <si>
    <t>4-6-087</t>
  </si>
  <si>
    <t>5-6-087</t>
  </si>
  <si>
    <t>10-10-087</t>
  </si>
  <si>
    <t>7-11-087</t>
  </si>
  <si>
    <t>19-10-087</t>
  </si>
  <si>
    <t>12-10-087</t>
  </si>
  <si>
    <t>20-10-087</t>
  </si>
  <si>
    <t>29-10-087</t>
  </si>
  <si>
    <t>30-10-087</t>
  </si>
  <si>
    <t>8-11-087</t>
  </si>
  <si>
    <t>7-12-087</t>
  </si>
  <si>
    <t>17-11-087</t>
  </si>
  <si>
    <t>13-11-087</t>
  </si>
  <si>
    <t>7-15</t>
  </si>
  <si>
    <t>14-11-087</t>
  </si>
  <si>
    <t>22-11-087</t>
  </si>
  <si>
    <t>18-11-087</t>
  </si>
  <si>
    <t>27-11-087</t>
  </si>
  <si>
    <t>23-11-087</t>
  </si>
  <si>
    <t>24-11-087</t>
  </si>
  <si>
    <t>18-[..]</t>
  </si>
  <si>
    <t>25-11-087</t>
  </si>
  <si>
    <t>28-11-087</t>
  </si>
  <si>
    <t>5-5-087</t>
  </si>
  <si>
    <t>3-6-087</t>
  </si>
  <si>
    <t>[..]+7-19</t>
  </si>
  <si>
    <t>21-5-087</t>
  </si>
  <si>
    <t>23-5-087</t>
  </si>
  <si>
    <t>new [barley] price lost</t>
  </si>
  <si>
    <t>31-8-086</t>
  </si>
  <si>
    <t>28-9-087</t>
  </si>
  <si>
    <t>9-9-087</t>
  </si>
  <si>
    <t>1-9-086</t>
  </si>
  <si>
    <t>10-9-086</t>
  </si>
  <si>
    <t>19-9-087</t>
  </si>
  <si>
    <t>20-9-086</t>
  </si>
  <si>
    <t>[36?]+14</t>
  </si>
  <si>
    <t>27-12-086</t>
  </si>
  <si>
    <t>24-1-085</t>
  </si>
  <si>
    <t>2-1-085</t>
  </si>
  <si>
    <t>1-17</t>
  </si>
  <si>
    <t>12-1-085</t>
  </si>
  <si>
    <t>5-6</t>
  </si>
  <si>
    <t>31-12-086</t>
  </si>
  <si>
    <t>1-12-085</t>
  </si>
  <si>
    <t>46,625</t>
  </si>
  <si>
    <t>3-1-085</t>
  </si>
  <si>
    <t>5-1-085</t>
  </si>
  <si>
    <t>4-1-085</t>
  </si>
  <si>
    <t>6-1-085</t>
  </si>
  <si>
    <t>15-1-085</t>
  </si>
  <si>
    <t>11-13</t>
  </si>
  <si>
    <t>8-1-085</t>
  </si>
  <si>
    <t>7-1-085</t>
  </si>
  <si>
    <t>9-1-085</t>
  </si>
  <si>
    <t>13-1-085</t>
  </si>
  <si>
    <t>19-1-085</t>
  </si>
  <si>
    <t>16-1-085</t>
  </si>
  <si>
    <t>18-1-085</t>
  </si>
  <si>
    <t>24-2-085</t>
  </si>
  <si>
    <t>5-3-085</t>
  </si>
  <si>
    <t>19-2-085</t>
  </si>
  <si>
    <t>7-9</t>
  </si>
  <si>
    <t>2-3-085</t>
  </si>
  <si>
    <t>4-3-085</t>
  </si>
  <si>
    <t>1?-7</t>
  </si>
  <si>
    <t>46,5?</t>
  </si>
  <si>
    <t>barley: [1(p)]/1(b) 4,5 qa</t>
  </si>
  <si>
    <t>3-3-085</t>
  </si>
  <si>
    <t>10-3-085</t>
  </si>
  <si>
    <t>10-[..]</t>
  </si>
  <si>
    <t>6-3-085</t>
  </si>
  <si>
    <t>15-3-085</t>
  </si>
  <si>
    <t>16-[..]</t>
  </si>
  <si>
    <t>11-3-085</t>
  </si>
  <si>
    <t>16-3-085</t>
  </si>
  <si>
    <t>23-3-085</t>
  </si>
  <si>
    <t>b?</t>
  </si>
  <si>
    <t>10-6-084</t>
  </si>
  <si>
    <t>19-6-084</t>
  </si>
  <si>
    <t>34,25?</t>
  </si>
  <si>
    <t>[..]-14</t>
  </si>
  <si>
    <t>20-6-084</t>
  </si>
  <si>
    <t>23-6-084</t>
  </si>
  <si>
    <t>29-6-084</t>
  </si>
  <si>
    <t>24-6-084</t>
  </si>
  <si>
    <t>30-6-084</t>
  </si>
  <si>
    <t>9-7-084</t>
  </si>
  <si>
    <t>21-24</t>
  </si>
  <si>
    <t>3-7-084</t>
  </si>
  <si>
    <t>4-7-084</t>
  </si>
  <si>
    <t>[..]-28</t>
  </si>
  <si>
    <t>6-7-084</t>
  </si>
  <si>
    <t>7-7-084</t>
  </si>
  <si>
    <t>8-7-084</t>
  </si>
  <si>
    <t>10-7-084</t>
  </si>
  <si>
    <t>19-7-084</t>
  </si>
  <si>
    <t>20-7-084</t>
  </si>
  <si>
    <t>29-7-084</t>
  </si>
  <si>
    <t>[..]-7</t>
  </si>
  <si>
    <t>16-7-084</t>
  </si>
  <si>
    <t>30-7-084</t>
  </si>
  <si>
    <t>8-8-084</t>
  </si>
  <si>
    <t>2-4-083</t>
  </si>
  <si>
    <t>30-4-083</t>
  </si>
  <si>
    <t>11-4-083</t>
  </si>
  <si>
    <t>[..]-6</t>
  </si>
  <si>
    <t>7-4-083</t>
  </si>
  <si>
    <t>7-10</t>
  </si>
  <si>
    <t>8-4-083</t>
  </si>
  <si>
    <t>6,5?</t>
  </si>
  <si>
    <t>9-4-083</t>
  </si>
  <si>
    <t>12-4-083</t>
  </si>
  <si>
    <t>14-4-083</t>
  </si>
  <si>
    <t>see below?</t>
  </si>
  <si>
    <t>barley in arrears; barley ?n the way at 3,5 liters p. Shekel</t>
  </si>
  <si>
    <t>22-4-083</t>
  </si>
  <si>
    <t>27-8-083</t>
  </si>
  <si>
    <t>25-09-083</t>
  </si>
  <si>
    <t>26-9-083</t>
  </si>
  <si>
    <t>25-10-083</t>
  </si>
  <si>
    <t>5-10-083</t>
  </si>
  <si>
    <t>6-10-083</t>
  </si>
  <si>
    <t>15-10-083</t>
  </si>
  <si>
    <t>16-10-083</t>
  </si>
  <si>
    <t>18-10-083</t>
  </si>
  <si>
    <t>12?</t>
  </si>
  <si>
    <t>[before 23] no supply</t>
  </si>
  <si>
    <t>24-12-083</t>
  </si>
  <si>
    <t>22-1-082</t>
  </si>
  <si>
    <t>2-1-082</t>
  </si>
  <si>
    <t>25-12-083</t>
  </si>
  <si>
    <t>3-1-082</t>
  </si>
  <si>
    <t>12-1-082</t>
  </si>
  <si>
    <t>[1]-15</t>
  </si>
  <si>
    <t>7-1-082</t>
  </si>
  <si>
    <t>8-1-082</t>
  </si>
  <si>
    <t>15-1-082</t>
  </si>
  <si>
    <t>16-1-082</t>
  </si>
  <si>
    <t>[48]+4,5</t>
  </si>
  <si>
    <t>13-1-082</t>
  </si>
  <si>
    <t>17-1-082</t>
  </si>
  <si>
    <t>22-3-082</t>
  </si>
  <si>
    <t>31-3-082</t>
  </si>
  <si>
    <t>11</t>
  </si>
  <si>
    <t>30-3-082</t>
  </si>
  <si>
    <t>barley: in the afternoon</t>
  </si>
  <si>
    <t>10-16</t>
  </si>
  <si>
    <t>6-4-082</t>
  </si>
  <si>
    <t>1-4-082</t>
  </si>
  <si>
    <t>10-4-082</t>
  </si>
  <si>
    <t>2-4-082</t>
  </si>
  <si>
    <t>3-4-082</t>
  </si>
  <si>
    <t>31-35</t>
  </si>
  <si>
    <t>4-4-082</t>
  </si>
  <si>
    <t>7-4-082</t>
  </si>
  <si>
    <t>11-4-082</t>
  </si>
  <si>
    <t>20-4-082</t>
  </si>
  <si>
    <t>28-4-080</t>
  </si>
  <si>
    <t>26-5-080</t>
  </si>
  <si>
    <t>7-5-080</t>
  </si>
  <si>
    <t>8-5-080</t>
  </si>
  <si>
    <t>17-5-080</t>
  </si>
  <si>
    <t>[..]-e</t>
  </si>
  <si>
    <t>18-5-080</t>
  </si>
  <si>
    <t>24-8-080</t>
  </si>
  <si>
    <t>21-9-080</t>
  </si>
  <si>
    <t>2-9-080</t>
  </si>
  <si>
    <t>3-9-080</t>
  </si>
  <si>
    <t>12-9-080</t>
  </si>
  <si>
    <t>13-9-080</t>
  </si>
  <si>
    <t>45!?</t>
  </si>
  <si>
    <t>dates: [EN TIL IT]U 1(p) 1(b) 3 qa</t>
  </si>
  <si>
    <t>20-9-080</t>
  </si>
  <si>
    <t>12-9-079</t>
  </si>
  <si>
    <t>11-10-079</t>
  </si>
  <si>
    <t>21-9-079</t>
  </si>
  <si>
    <t>22-9-079</t>
  </si>
  <si>
    <t>1-10-079</t>
  </si>
  <si>
    <t>[36]+6</t>
  </si>
  <si>
    <t>2-10-079</t>
  </si>
  <si>
    <t>7-4-078</t>
  </si>
  <si>
    <t>6-5-078</t>
  </si>
  <si>
    <t>7-5-078</t>
  </si>
  <si>
    <t>4-6-078</t>
  </si>
  <si>
    <t>7?</t>
  </si>
  <si>
    <t>16-5-078</t>
  </si>
  <si>
    <t>17-5-078</t>
  </si>
  <si>
    <t>26-5-078</t>
  </si>
  <si>
    <t>27-5-078</t>
  </si>
  <si>
    <t>[36]+10</t>
  </si>
  <si>
    <t>5-6-078</t>
  </si>
  <si>
    <t>3-7-078</t>
  </si>
  <si>
    <t>14-6-078</t>
  </si>
  <si>
    <t>7-6-078</t>
  </si>
  <si>
    <t>barley: 1(p) 2?!(b) 1 1/2 qa</t>
  </si>
  <si>
    <t>3-e</t>
  </si>
  <si>
    <t>8-6-078</t>
  </si>
  <si>
    <t>4-e</t>
  </si>
  <si>
    <t>5-18</t>
  </si>
  <si>
    <t>9-6-078</t>
  </si>
  <si>
    <t>22-6-078</t>
  </si>
  <si>
    <t>36-72</t>
  </si>
  <si>
    <t>15-6-078</t>
  </si>
  <si>
    <t>24-6-078</t>
  </si>
  <si>
    <t>19-23</t>
  </si>
  <si>
    <t>23-6-078</t>
  </si>
  <si>
    <t>27-6-078</t>
  </si>
  <si>
    <t>barley: 1(p) 2!?(b) 1/2 qa</t>
  </si>
  <si>
    <t>25-6-078</t>
  </si>
  <si>
    <t>28-6-078</t>
  </si>
  <si>
    <t>29-6-078</t>
  </si>
  <si>
    <t>30-6-078</t>
  </si>
  <si>
    <t>37,875</t>
  </si>
  <si>
    <t>4-7-078</t>
  </si>
  <si>
    <t>2-8-078</t>
  </si>
  <si>
    <t>50,5?</t>
  </si>
  <si>
    <t>dates: 1(p) [2](b) 2 1/2 qa</t>
  </si>
  <si>
    <t>13-7-078</t>
  </si>
  <si>
    <t>12-7-078</t>
  </si>
  <si>
    <t>6-7-078</t>
  </si>
  <si>
    <t>4-11</t>
  </si>
  <si>
    <t>7-7-078</t>
  </si>
  <si>
    <t>14-7-078</t>
  </si>
  <si>
    <t>23-7-087</t>
  </si>
  <si>
    <t>15-7-078</t>
  </si>
  <si>
    <t>3-8-078</t>
  </si>
  <si>
    <t>1-9-078</t>
  </si>
  <si>
    <t>1-10-078</t>
  </si>
  <si>
    <t>10-10-078</t>
  </si>
  <si>
    <t>6-10-078</t>
  </si>
  <si>
    <t>20-10-078</t>
  </si>
  <si>
    <t>7-10-078</t>
  </si>
  <si>
    <t>30-10-078</t>
  </si>
  <si>
    <t>11-10-078</t>
  </si>
  <si>
    <t>42-49</t>
  </si>
  <si>
    <t>21-10-078</t>
  </si>
  <si>
    <t>21-[..]</t>
  </si>
  <si>
    <t>31-10-078</t>
  </si>
  <si>
    <t>28-11-078</t>
  </si>
  <si>
    <t>1-8</t>
  </si>
  <si>
    <t>8-11-078</t>
  </si>
  <si>
    <t>10-11-078</t>
  </si>
  <si>
    <t>9-e</t>
  </si>
  <si>
    <t>19-11-078</t>
  </si>
  <si>
    <t>56-57,5</t>
  </si>
  <si>
    <t>20-11-078</t>
  </si>
  <si>
    <t>27-1-077</t>
  </si>
  <si>
    <t>24-2-077</t>
  </si>
  <si>
    <t>5-2-077</t>
  </si>
  <si>
    <t>6-2-077</t>
  </si>
  <si>
    <t>15-2-077</t>
  </si>
  <si>
    <t>[36]+9</t>
  </si>
  <si>
    <t>16-2-077</t>
  </si>
  <si>
    <t>6-12-076</t>
  </si>
  <si>
    <t>4-1-075</t>
  </si>
  <si>
    <t>20-6-074</t>
  </si>
  <si>
    <t>19-7-074</t>
  </si>
  <si>
    <t>30-6-074</t>
  </si>
  <si>
    <t>81??</t>
  </si>
  <si>
    <t>new barley(?)</t>
  </si>
  <si>
    <t>26-6-074</t>
  </si>
  <si>
    <t>27-6-074</t>
  </si>
  <si>
    <t>9-7-074</t>
  </si>
  <si>
    <t>10-7-074</t>
  </si>
  <si>
    <t>4-11-073</t>
  </si>
  <si>
    <t>2-12-074</t>
  </si>
  <si>
    <t>21-4-063</t>
  </si>
  <si>
    <t>19-5-063</t>
  </si>
  <si>
    <t>no barley exchange in the streets of Babylon</t>
  </si>
  <si>
    <t>22-10-061</t>
  </si>
  <si>
    <t>30-10-061</t>
  </si>
  <si>
    <t>[..]-8</t>
  </si>
  <si>
    <t>28-10-061</t>
  </si>
  <si>
    <t>29-10-061</t>
  </si>
  <si>
    <t>barley?</t>
  </si>
  <si>
    <t>9-10</t>
  </si>
  <si>
    <t>31-10-061</t>
  </si>
  <si>
    <t>1-11-061</t>
  </si>
  <si>
    <t>10-11-061</t>
  </si>
  <si>
    <t>11-[..]</t>
  </si>
  <si>
    <t>11-11-061</t>
  </si>
  <si>
    <t>19-11-061</t>
  </si>
  <si>
    <t>24</t>
  </si>
  <si>
    <t>14-11-061</t>
  </si>
  <si>
    <t>dates?</t>
  </si>
  <si>
    <t>15-11-061</t>
  </si>
  <si>
    <t>16-11-061</t>
  </si>
  <si>
    <t>17-11-061</t>
  </si>
  <si>
    <t>18-11-061</t>
  </si>
  <si>
    <t>CUMULATIVE DAYS TO PREVIOUS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</si>
</sst>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
    <numFmt numFmtId="165" formatCode="d/m"/>
  </numFmts>
  <fonts count="12" x14ac:knownFonts="1">
    <font>
      <sz val="12"/>
      <color theme="1"/>
      <name val="Aptos Narrow"/>
      <family val="2"/>
      <scheme val="minor"/>
    </font>
    <font>
      <b/>
      <sz val="10"/>
      <name val="Arial"/>
      <family val="2"/>
      <charset val="161"/>
    </font>
    <font>
      <b/>
      <sz val="10"/>
      <color indexed="10"/>
      <name val="Arial"/>
      <family val="2"/>
      <charset val="161"/>
    </font>
    <font>
      <sz val="10"/>
      <name val="Arial"/>
      <family val="2"/>
      <charset val="161"/>
    </font>
    <font>
      <sz val="10"/>
      <color indexed="10"/>
      <name val="Arial"/>
      <family val="2"/>
      <charset val="161"/>
    </font>
    <font>
      <i/>
      <sz val="10"/>
      <color indexed="10"/>
      <name val="Arial"/>
      <family val="2"/>
      <charset val="161"/>
    </font>
    <font>
      <b/>
      <i/>
      <sz val="10"/>
      <color indexed="10"/>
      <name val="Arial"/>
      <family val="2"/>
      <charset val="161"/>
    </font>
    <font>
      <i/>
      <sz val="10"/>
      <name val="Arial"/>
      <family val="2"/>
      <charset val="161"/>
    </font>
    <font>
      <b/>
      <i/>
      <sz val="10"/>
      <name val="Arial"/>
      <family val="2"/>
      <charset val="161"/>
    </font>
    <font>
      <sz val="10"/>
      <name val="Arial"/>
      <family val="2"/>
    </font>
    <font>
      <i/>
      <sz val="10"/>
      <name val="Arial"/>
      <family val="2"/>
    </font>
    <font>
      <sz val="8"/>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8">
    <xf numFmtId="0" fontId="0" fillId="0" borderId="0" xfId="0"/>
    <xf numFmtId="0" fontId="1" fillId="0" borderId="0" xfId="0" applyFont="1"/>
    <xf numFmtId="0" fontId="1" fillId="0" borderId="0" xfId="0" applyFont="1" applyAlignment="1">
      <alignment horizontal="right"/>
    </xf>
    <xf numFmtId="49" fontId="1" fillId="0" borderId="0" xfId="0" applyNumberFormat="1" applyFont="1"/>
    <xf numFmtId="49" fontId="1" fillId="0" borderId="0" xfId="0" applyNumberFormat="1" applyFont="1" applyAlignment="1">
      <alignment horizontal="right"/>
    </xf>
    <xf numFmtId="1" fontId="1" fillId="0" borderId="0" xfId="0" applyNumberFormat="1" applyFont="1" applyAlignment="1">
      <alignment horizontal="right"/>
    </xf>
    <xf numFmtId="2" fontId="1" fillId="0" borderId="0" xfId="0" applyNumberFormat="1" applyFont="1" applyAlignment="1">
      <alignment horizontal="right"/>
    </xf>
    <xf numFmtId="14" fontId="1" fillId="0" borderId="0" xfId="0" applyNumberFormat="1" applyFont="1" applyAlignment="1">
      <alignment horizontal="right"/>
    </xf>
    <xf numFmtId="2" fontId="2" fillId="0" borderId="0" xfId="0" applyNumberFormat="1" applyFont="1"/>
    <xf numFmtId="0" fontId="2" fillId="0" borderId="0" xfId="0" applyFont="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 fontId="3" fillId="0" borderId="0" xfId="0" applyNumberFormat="1" applyFont="1"/>
    <xf numFmtId="2" fontId="3" fillId="0" borderId="0" xfId="0" applyNumberFormat="1" applyFont="1"/>
    <xf numFmtId="14" fontId="0" fillId="0" borderId="0" xfId="0" applyNumberFormat="1" applyAlignment="1">
      <alignment horizontal="right"/>
    </xf>
    <xf numFmtId="2" fontId="4" fillId="0" borderId="0" xfId="0" applyNumberFormat="1" applyFont="1"/>
    <xf numFmtId="0" fontId="4" fillId="0" borderId="0" xfId="0" applyFont="1"/>
    <xf numFmtId="0" fontId="3" fillId="0" borderId="0" xfId="0" applyFont="1"/>
    <xf numFmtId="2" fontId="5" fillId="0" borderId="0" xfId="0" applyNumberFormat="1" applyFont="1"/>
    <xf numFmtId="0" fontId="5" fillId="0" borderId="0" xfId="0" applyFont="1"/>
    <xf numFmtId="0" fontId="6" fillId="0" borderId="0" xfId="0" applyFont="1"/>
    <xf numFmtId="2" fontId="6" fillId="0" borderId="0" xfId="0" applyNumberFormat="1" applyFont="1"/>
    <xf numFmtId="0" fontId="7" fillId="0" borderId="0" xfId="0" applyFont="1" applyAlignment="1">
      <alignment horizontal="right"/>
    </xf>
    <xf numFmtId="0" fontId="7" fillId="0" borderId="0" xfId="0" applyFont="1"/>
    <xf numFmtId="14" fontId="7" fillId="0" borderId="0" xfId="0" applyNumberFormat="1" applyFont="1" applyAlignment="1">
      <alignment horizontal="right"/>
    </xf>
    <xf numFmtId="14" fontId="3" fillId="0" borderId="0" xfId="0" applyNumberFormat="1" applyFont="1" applyAlignment="1">
      <alignment horizontal="right"/>
    </xf>
    <xf numFmtId="49" fontId="7" fillId="0" borderId="0" xfId="0" applyNumberFormat="1" applyFont="1"/>
    <xf numFmtId="17" fontId="1" fillId="0" borderId="0" xfId="0" applyNumberFormat="1" applyFont="1"/>
    <xf numFmtId="0" fontId="3" fillId="0" borderId="0" xfId="0" applyFont="1" applyAlignment="1">
      <alignment horizontal="right"/>
    </xf>
    <xf numFmtId="0" fontId="8" fillId="0" borderId="0" xfId="0" applyFont="1"/>
    <xf numFmtId="49" fontId="9" fillId="0" borderId="0" xfId="0" applyNumberFormat="1" applyFont="1"/>
    <xf numFmtId="14" fontId="10" fillId="0" borderId="0" xfId="0" applyNumberFormat="1" applyFont="1" applyAlignment="1">
      <alignment horizontal="right"/>
    </xf>
    <xf numFmtId="14" fontId="8" fillId="0" borderId="0" xfId="0" applyNumberFormat="1" applyFont="1" applyAlignment="1">
      <alignment horizontal="right"/>
    </xf>
    <xf numFmtId="165" fontId="0" fillId="0" borderId="0" xfId="0" applyNumberFormat="1"/>
    <xf numFmtId="16" fontId="0" fillId="0" borderId="0" xfId="0" applyNumberFormat="1"/>
    <xf numFmtId="49" fontId="2" fillId="0" borderId="0" xfId="0" applyNumberFormat="1"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F48D6-CB3F-054F-B8A7-8B62F01D4A35}">
  <dimension ref="A1:AM1513"/>
  <sheetViews>
    <sheetView tabSelected="1" workbookViewId="0">
      <selection sqref="A1:XFD1048576"/>
    </sheetView>
  </sheetViews>
  <sheetFormatPr baseColWidth="10" defaultRowHeight="16" x14ac:dyDescent="0.2"/>
  <cols>
    <col min="1" max="1" width="36.5" bestFit="1" customWidth="1"/>
    <col min="2" max="2" width="7.5" style="10" bestFit="1" customWidth="1"/>
    <col min="3" max="3" width="7.6640625" style="11" bestFit="1" customWidth="1"/>
    <col min="4" max="4" width="9.5" style="10" bestFit="1" customWidth="1"/>
    <col min="5" max="5" width="4.33203125" style="13" bestFit="1" customWidth="1"/>
    <col min="6" max="6" width="4.5" style="13" bestFit="1" customWidth="1"/>
    <col min="7" max="7" width="20.6640625" style="13" bestFit="1" customWidth="1"/>
    <col min="8" max="8" width="5.5" style="13" customWidth="1"/>
    <col min="9" max="9" width="8.5" style="14" bestFit="1" customWidth="1"/>
    <col min="10" max="10" width="9.5" style="15" bestFit="1" customWidth="1"/>
    <col min="11" max="11" width="11.6640625" style="10" bestFit="1" customWidth="1"/>
    <col min="12" max="12" width="14.33203125" style="16" bestFit="1" customWidth="1"/>
    <col min="13" max="13" width="12.5" style="16" bestFit="1" customWidth="1"/>
    <col min="14" max="14" width="19" style="16" bestFit="1" customWidth="1"/>
    <col min="15" max="15" width="20.5" style="16" bestFit="1" customWidth="1"/>
    <col min="16" max="16" width="12.6640625" bestFit="1" customWidth="1"/>
    <col min="17" max="17" width="14.1640625" style="17" bestFit="1" customWidth="1"/>
    <col min="18" max="18" width="14.33203125" style="16" bestFit="1" customWidth="1"/>
    <col min="19" max="19" width="14" style="16" bestFit="1" customWidth="1"/>
    <col min="20" max="20" width="15" style="16" bestFit="1" customWidth="1"/>
    <col min="21" max="21" width="17" bestFit="1" customWidth="1"/>
    <col min="22" max="22" width="14.83203125" style="17" bestFit="1" customWidth="1"/>
    <col min="23" max="23" width="13" style="16" bestFit="1" customWidth="1"/>
    <col min="24" max="24" width="19.5" style="16" bestFit="1" customWidth="1"/>
    <col min="25" max="25" width="9.83203125" bestFit="1" customWidth="1"/>
    <col min="26" max="26" width="14.33203125" style="17" bestFit="1" customWidth="1"/>
    <col min="27" max="27" width="12.5" style="16" bestFit="1" customWidth="1"/>
    <col min="28" max="28" width="19" style="16" bestFit="1" customWidth="1"/>
    <col min="29" max="29" width="10.6640625" bestFit="1" customWidth="1"/>
    <col min="30" max="30" width="14.6640625" style="17" bestFit="1" customWidth="1"/>
    <col min="31" max="31" width="12.83203125" style="16" bestFit="1" customWidth="1"/>
    <col min="32" max="32" width="19.33203125" style="16" bestFit="1" customWidth="1"/>
    <col min="33" max="33" width="20.1640625" bestFit="1" customWidth="1"/>
    <col min="34" max="34" width="14" style="17" bestFit="1" customWidth="1"/>
    <col min="35" max="35" width="15.6640625" style="8" bestFit="1" customWidth="1"/>
    <col min="36" max="36" width="18.6640625" style="8" bestFit="1" customWidth="1"/>
    <col min="37" max="37" width="46" bestFit="1" customWidth="1"/>
    <col min="38" max="38" width="12.5" bestFit="1" customWidth="1"/>
    <col min="39" max="39" width="13.83203125" bestFit="1" customWidth="1"/>
    <col min="40" max="256" width="8.83203125" customWidth="1"/>
    <col min="257" max="257" width="36.5" bestFit="1" customWidth="1"/>
    <col min="258" max="258" width="7.5" bestFit="1" customWidth="1"/>
    <col min="259" max="259" width="7.6640625" bestFit="1" customWidth="1"/>
    <col min="260" max="260" width="9.5" bestFit="1" customWidth="1"/>
    <col min="261" max="261" width="4.33203125" bestFit="1" customWidth="1"/>
    <col min="262" max="262" width="4.5" bestFit="1" customWidth="1"/>
    <col min="263" max="263" width="20.6640625" bestFit="1" customWidth="1"/>
    <col min="264" max="264" width="5.5" customWidth="1"/>
    <col min="265" max="265" width="8.5" bestFit="1" customWidth="1"/>
    <col min="266" max="266" width="9.5" bestFit="1" customWidth="1"/>
    <col min="267" max="267" width="11.6640625" bestFit="1" customWidth="1"/>
    <col min="268" max="268" width="14.33203125" bestFit="1" customWidth="1"/>
    <col min="269" max="269" width="12.5" bestFit="1" customWidth="1"/>
    <col min="270" max="270" width="19" bestFit="1" customWidth="1"/>
    <col min="271" max="271" width="20.5" bestFit="1" customWidth="1"/>
    <col min="272" max="272" width="12.6640625" bestFit="1" customWidth="1"/>
    <col min="273" max="273" width="14.1640625" bestFit="1" customWidth="1"/>
    <col min="274" max="274" width="14.33203125" bestFit="1" customWidth="1"/>
    <col min="275" max="275" width="14" bestFit="1" customWidth="1"/>
    <col min="276" max="276" width="15" bestFit="1" customWidth="1"/>
    <col min="277" max="277" width="17" bestFit="1" customWidth="1"/>
    <col min="278" max="278" width="14.83203125" bestFit="1" customWidth="1"/>
    <col min="279" max="279" width="13" bestFit="1" customWidth="1"/>
    <col min="280" max="280" width="19.5" bestFit="1" customWidth="1"/>
    <col min="281" max="281" width="9.83203125" bestFit="1" customWidth="1"/>
    <col min="282" max="282" width="14.33203125" bestFit="1" customWidth="1"/>
    <col min="283" max="283" width="12.5" bestFit="1" customWidth="1"/>
    <col min="284" max="284" width="19" bestFit="1" customWidth="1"/>
    <col min="285" max="285" width="10.6640625" bestFit="1" customWidth="1"/>
    <col min="286" max="286" width="14.6640625" bestFit="1" customWidth="1"/>
    <col min="287" max="287" width="12.83203125" bestFit="1" customWidth="1"/>
    <col min="288" max="288" width="19.33203125" bestFit="1" customWidth="1"/>
    <col min="289" max="289" width="20.1640625" bestFit="1" customWidth="1"/>
    <col min="290" max="290" width="14" bestFit="1" customWidth="1"/>
    <col min="291" max="291" width="15.6640625" bestFit="1" customWidth="1"/>
    <col min="292" max="292" width="18.6640625" bestFit="1" customWidth="1"/>
    <col min="293" max="293" width="46" bestFit="1" customWidth="1"/>
    <col min="294" max="294" width="12.5" bestFit="1" customWidth="1"/>
    <col min="295" max="295" width="13.83203125" bestFit="1" customWidth="1"/>
    <col min="296" max="512" width="8.83203125" customWidth="1"/>
    <col min="513" max="513" width="36.5" bestFit="1" customWidth="1"/>
    <col min="514" max="514" width="7.5" bestFit="1" customWidth="1"/>
    <col min="515" max="515" width="7.6640625" bestFit="1" customWidth="1"/>
    <col min="516" max="516" width="9.5" bestFit="1" customWidth="1"/>
    <col min="517" max="517" width="4.33203125" bestFit="1" customWidth="1"/>
    <col min="518" max="518" width="4.5" bestFit="1" customWidth="1"/>
    <col min="519" max="519" width="20.6640625" bestFit="1" customWidth="1"/>
    <col min="520" max="520" width="5.5" customWidth="1"/>
    <col min="521" max="521" width="8.5" bestFit="1" customWidth="1"/>
    <col min="522" max="522" width="9.5" bestFit="1" customWidth="1"/>
    <col min="523" max="523" width="11.6640625" bestFit="1" customWidth="1"/>
    <col min="524" max="524" width="14.33203125" bestFit="1" customWidth="1"/>
    <col min="525" max="525" width="12.5" bestFit="1" customWidth="1"/>
    <col min="526" max="526" width="19" bestFit="1" customWidth="1"/>
    <col min="527" max="527" width="20.5" bestFit="1" customWidth="1"/>
    <col min="528" max="528" width="12.6640625" bestFit="1" customWidth="1"/>
    <col min="529" max="529" width="14.1640625" bestFit="1" customWidth="1"/>
    <col min="530" max="530" width="14.33203125" bestFit="1" customWidth="1"/>
    <col min="531" max="531" width="14" bestFit="1" customWidth="1"/>
    <col min="532" max="532" width="15" bestFit="1" customWidth="1"/>
    <col min="533" max="533" width="17" bestFit="1" customWidth="1"/>
    <col min="534" max="534" width="14.83203125" bestFit="1" customWidth="1"/>
    <col min="535" max="535" width="13" bestFit="1" customWidth="1"/>
    <col min="536" max="536" width="19.5" bestFit="1" customWidth="1"/>
    <col min="537" max="537" width="9.83203125" bestFit="1" customWidth="1"/>
    <col min="538" max="538" width="14.33203125" bestFit="1" customWidth="1"/>
    <col min="539" max="539" width="12.5" bestFit="1" customWidth="1"/>
    <col min="540" max="540" width="19" bestFit="1" customWidth="1"/>
    <col min="541" max="541" width="10.6640625" bestFit="1" customWidth="1"/>
    <col min="542" max="542" width="14.6640625" bestFit="1" customWidth="1"/>
    <col min="543" max="543" width="12.83203125" bestFit="1" customWidth="1"/>
    <col min="544" max="544" width="19.33203125" bestFit="1" customWidth="1"/>
    <col min="545" max="545" width="20.1640625" bestFit="1" customWidth="1"/>
    <col min="546" max="546" width="14" bestFit="1" customWidth="1"/>
    <col min="547" max="547" width="15.6640625" bestFit="1" customWidth="1"/>
    <col min="548" max="548" width="18.6640625" bestFit="1" customWidth="1"/>
    <col min="549" max="549" width="46" bestFit="1" customWidth="1"/>
    <col min="550" max="550" width="12.5" bestFit="1" customWidth="1"/>
    <col min="551" max="551" width="13.83203125" bestFit="1" customWidth="1"/>
    <col min="552" max="768" width="8.83203125" customWidth="1"/>
    <col min="769" max="769" width="36.5" bestFit="1" customWidth="1"/>
    <col min="770" max="770" width="7.5" bestFit="1" customWidth="1"/>
    <col min="771" max="771" width="7.6640625" bestFit="1" customWidth="1"/>
    <col min="772" max="772" width="9.5" bestFit="1" customWidth="1"/>
    <col min="773" max="773" width="4.33203125" bestFit="1" customWidth="1"/>
    <col min="774" max="774" width="4.5" bestFit="1" customWidth="1"/>
    <col min="775" max="775" width="20.6640625" bestFit="1" customWidth="1"/>
    <col min="776" max="776" width="5.5" customWidth="1"/>
    <col min="777" max="777" width="8.5" bestFit="1" customWidth="1"/>
    <col min="778" max="778" width="9.5" bestFit="1" customWidth="1"/>
    <col min="779" max="779" width="11.6640625" bestFit="1" customWidth="1"/>
    <col min="780" max="780" width="14.33203125" bestFit="1" customWidth="1"/>
    <col min="781" max="781" width="12.5" bestFit="1" customWidth="1"/>
    <col min="782" max="782" width="19" bestFit="1" customWidth="1"/>
    <col min="783" max="783" width="20.5" bestFit="1" customWidth="1"/>
    <col min="784" max="784" width="12.6640625" bestFit="1" customWidth="1"/>
    <col min="785" max="785" width="14.1640625" bestFit="1" customWidth="1"/>
    <col min="786" max="786" width="14.33203125" bestFit="1" customWidth="1"/>
    <col min="787" max="787" width="14" bestFit="1" customWidth="1"/>
    <col min="788" max="788" width="15" bestFit="1" customWidth="1"/>
    <col min="789" max="789" width="17" bestFit="1" customWidth="1"/>
    <col min="790" max="790" width="14.83203125" bestFit="1" customWidth="1"/>
    <col min="791" max="791" width="13" bestFit="1" customWidth="1"/>
    <col min="792" max="792" width="19.5" bestFit="1" customWidth="1"/>
    <col min="793" max="793" width="9.83203125" bestFit="1" customWidth="1"/>
    <col min="794" max="794" width="14.33203125" bestFit="1" customWidth="1"/>
    <col min="795" max="795" width="12.5" bestFit="1" customWidth="1"/>
    <col min="796" max="796" width="19" bestFit="1" customWidth="1"/>
    <col min="797" max="797" width="10.6640625" bestFit="1" customWidth="1"/>
    <col min="798" max="798" width="14.6640625" bestFit="1" customWidth="1"/>
    <col min="799" max="799" width="12.83203125" bestFit="1" customWidth="1"/>
    <col min="800" max="800" width="19.33203125" bestFit="1" customWidth="1"/>
    <col min="801" max="801" width="20.1640625" bestFit="1" customWidth="1"/>
    <col min="802" max="802" width="14" bestFit="1" customWidth="1"/>
    <col min="803" max="803" width="15.6640625" bestFit="1" customWidth="1"/>
    <col min="804" max="804" width="18.6640625" bestFit="1" customWidth="1"/>
    <col min="805" max="805" width="46" bestFit="1" customWidth="1"/>
    <col min="806" max="806" width="12.5" bestFit="1" customWidth="1"/>
    <col min="807" max="807" width="13.83203125" bestFit="1" customWidth="1"/>
    <col min="808" max="1024" width="8.83203125" customWidth="1"/>
    <col min="1025" max="1025" width="36.5" bestFit="1" customWidth="1"/>
    <col min="1026" max="1026" width="7.5" bestFit="1" customWidth="1"/>
    <col min="1027" max="1027" width="7.6640625" bestFit="1" customWidth="1"/>
    <col min="1028" max="1028" width="9.5" bestFit="1" customWidth="1"/>
    <col min="1029" max="1029" width="4.33203125" bestFit="1" customWidth="1"/>
    <col min="1030" max="1030" width="4.5" bestFit="1" customWidth="1"/>
    <col min="1031" max="1031" width="20.6640625" bestFit="1" customWidth="1"/>
    <col min="1032" max="1032" width="5.5" customWidth="1"/>
    <col min="1033" max="1033" width="8.5" bestFit="1" customWidth="1"/>
    <col min="1034" max="1034" width="9.5" bestFit="1" customWidth="1"/>
    <col min="1035" max="1035" width="11.6640625" bestFit="1" customWidth="1"/>
    <col min="1036" max="1036" width="14.33203125" bestFit="1" customWidth="1"/>
    <col min="1037" max="1037" width="12.5" bestFit="1" customWidth="1"/>
    <col min="1038" max="1038" width="19" bestFit="1" customWidth="1"/>
    <col min="1039" max="1039" width="20.5" bestFit="1" customWidth="1"/>
    <col min="1040" max="1040" width="12.6640625" bestFit="1" customWidth="1"/>
    <col min="1041" max="1041" width="14.1640625" bestFit="1" customWidth="1"/>
    <col min="1042" max="1042" width="14.33203125" bestFit="1" customWidth="1"/>
    <col min="1043" max="1043" width="14" bestFit="1" customWidth="1"/>
    <col min="1044" max="1044" width="15" bestFit="1" customWidth="1"/>
    <col min="1045" max="1045" width="17" bestFit="1" customWidth="1"/>
    <col min="1046" max="1046" width="14.83203125" bestFit="1" customWidth="1"/>
    <col min="1047" max="1047" width="13" bestFit="1" customWidth="1"/>
    <col min="1048" max="1048" width="19.5" bestFit="1" customWidth="1"/>
    <col min="1049" max="1049" width="9.83203125" bestFit="1" customWidth="1"/>
    <col min="1050" max="1050" width="14.33203125" bestFit="1" customWidth="1"/>
    <col min="1051" max="1051" width="12.5" bestFit="1" customWidth="1"/>
    <col min="1052" max="1052" width="19" bestFit="1" customWidth="1"/>
    <col min="1053" max="1053" width="10.6640625" bestFit="1" customWidth="1"/>
    <col min="1054" max="1054" width="14.6640625" bestFit="1" customWidth="1"/>
    <col min="1055" max="1055" width="12.83203125" bestFit="1" customWidth="1"/>
    <col min="1056" max="1056" width="19.33203125" bestFit="1" customWidth="1"/>
    <col min="1057" max="1057" width="20.1640625" bestFit="1" customWidth="1"/>
    <col min="1058" max="1058" width="14" bestFit="1" customWidth="1"/>
    <col min="1059" max="1059" width="15.6640625" bestFit="1" customWidth="1"/>
    <col min="1060" max="1060" width="18.6640625" bestFit="1" customWidth="1"/>
    <col min="1061" max="1061" width="46" bestFit="1" customWidth="1"/>
    <col min="1062" max="1062" width="12.5" bestFit="1" customWidth="1"/>
    <col min="1063" max="1063" width="13.83203125" bestFit="1" customWidth="1"/>
    <col min="1064" max="1280" width="8.83203125" customWidth="1"/>
    <col min="1281" max="1281" width="36.5" bestFit="1" customWidth="1"/>
    <col min="1282" max="1282" width="7.5" bestFit="1" customWidth="1"/>
    <col min="1283" max="1283" width="7.6640625" bestFit="1" customWidth="1"/>
    <col min="1284" max="1284" width="9.5" bestFit="1" customWidth="1"/>
    <col min="1285" max="1285" width="4.33203125" bestFit="1" customWidth="1"/>
    <col min="1286" max="1286" width="4.5" bestFit="1" customWidth="1"/>
    <col min="1287" max="1287" width="20.6640625" bestFit="1" customWidth="1"/>
    <col min="1288" max="1288" width="5.5" customWidth="1"/>
    <col min="1289" max="1289" width="8.5" bestFit="1" customWidth="1"/>
    <col min="1290" max="1290" width="9.5" bestFit="1" customWidth="1"/>
    <col min="1291" max="1291" width="11.6640625" bestFit="1" customWidth="1"/>
    <col min="1292" max="1292" width="14.33203125" bestFit="1" customWidth="1"/>
    <col min="1293" max="1293" width="12.5" bestFit="1" customWidth="1"/>
    <col min="1294" max="1294" width="19" bestFit="1" customWidth="1"/>
    <col min="1295" max="1295" width="20.5" bestFit="1" customWidth="1"/>
    <col min="1296" max="1296" width="12.6640625" bestFit="1" customWidth="1"/>
    <col min="1297" max="1297" width="14.1640625" bestFit="1" customWidth="1"/>
    <col min="1298" max="1298" width="14.33203125" bestFit="1" customWidth="1"/>
    <col min="1299" max="1299" width="14" bestFit="1" customWidth="1"/>
    <col min="1300" max="1300" width="15" bestFit="1" customWidth="1"/>
    <col min="1301" max="1301" width="17" bestFit="1" customWidth="1"/>
    <col min="1302" max="1302" width="14.83203125" bestFit="1" customWidth="1"/>
    <col min="1303" max="1303" width="13" bestFit="1" customWidth="1"/>
    <col min="1304" max="1304" width="19.5" bestFit="1" customWidth="1"/>
    <col min="1305" max="1305" width="9.83203125" bestFit="1" customWidth="1"/>
    <col min="1306" max="1306" width="14.33203125" bestFit="1" customWidth="1"/>
    <col min="1307" max="1307" width="12.5" bestFit="1" customWidth="1"/>
    <col min="1308" max="1308" width="19" bestFit="1" customWidth="1"/>
    <col min="1309" max="1309" width="10.6640625" bestFit="1" customWidth="1"/>
    <col min="1310" max="1310" width="14.6640625" bestFit="1" customWidth="1"/>
    <col min="1311" max="1311" width="12.83203125" bestFit="1" customWidth="1"/>
    <col min="1312" max="1312" width="19.33203125" bestFit="1" customWidth="1"/>
    <col min="1313" max="1313" width="20.1640625" bestFit="1" customWidth="1"/>
    <col min="1314" max="1314" width="14" bestFit="1" customWidth="1"/>
    <col min="1315" max="1315" width="15.6640625" bestFit="1" customWidth="1"/>
    <col min="1316" max="1316" width="18.6640625" bestFit="1" customWidth="1"/>
    <col min="1317" max="1317" width="46" bestFit="1" customWidth="1"/>
    <col min="1318" max="1318" width="12.5" bestFit="1" customWidth="1"/>
    <col min="1319" max="1319" width="13.83203125" bestFit="1" customWidth="1"/>
    <col min="1320" max="1536" width="8.83203125" customWidth="1"/>
    <col min="1537" max="1537" width="36.5" bestFit="1" customWidth="1"/>
    <col min="1538" max="1538" width="7.5" bestFit="1" customWidth="1"/>
    <col min="1539" max="1539" width="7.6640625" bestFit="1" customWidth="1"/>
    <col min="1540" max="1540" width="9.5" bestFit="1" customWidth="1"/>
    <col min="1541" max="1541" width="4.33203125" bestFit="1" customWidth="1"/>
    <col min="1542" max="1542" width="4.5" bestFit="1" customWidth="1"/>
    <col min="1543" max="1543" width="20.6640625" bestFit="1" customWidth="1"/>
    <col min="1544" max="1544" width="5.5" customWidth="1"/>
    <col min="1545" max="1545" width="8.5" bestFit="1" customWidth="1"/>
    <col min="1546" max="1546" width="9.5" bestFit="1" customWidth="1"/>
    <col min="1547" max="1547" width="11.6640625" bestFit="1" customWidth="1"/>
    <col min="1548" max="1548" width="14.33203125" bestFit="1" customWidth="1"/>
    <col min="1549" max="1549" width="12.5" bestFit="1" customWidth="1"/>
    <col min="1550" max="1550" width="19" bestFit="1" customWidth="1"/>
    <col min="1551" max="1551" width="20.5" bestFit="1" customWidth="1"/>
    <col min="1552" max="1552" width="12.6640625" bestFit="1" customWidth="1"/>
    <col min="1553" max="1553" width="14.1640625" bestFit="1" customWidth="1"/>
    <col min="1554" max="1554" width="14.33203125" bestFit="1" customWidth="1"/>
    <col min="1555" max="1555" width="14" bestFit="1" customWidth="1"/>
    <col min="1556" max="1556" width="15" bestFit="1" customWidth="1"/>
    <col min="1557" max="1557" width="17" bestFit="1" customWidth="1"/>
    <col min="1558" max="1558" width="14.83203125" bestFit="1" customWidth="1"/>
    <col min="1559" max="1559" width="13" bestFit="1" customWidth="1"/>
    <col min="1560" max="1560" width="19.5" bestFit="1" customWidth="1"/>
    <col min="1561" max="1561" width="9.83203125" bestFit="1" customWidth="1"/>
    <col min="1562" max="1562" width="14.33203125" bestFit="1" customWidth="1"/>
    <col min="1563" max="1563" width="12.5" bestFit="1" customWidth="1"/>
    <col min="1564" max="1564" width="19" bestFit="1" customWidth="1"/>
    <col min="1565" max="1565" width="10.6640625" bestFit="1" customWidth="1"/>
    <col min="1566" max="1566" width="14.6640625" bestFit="1" customWidth="1"/>
    <col min="1567" max="1567" width="12.83203125" bestFit="1" customWidth="1"/>
    <col min="1568" max="1568" width="19.33203125" bestFit="1" customWidth="1"/>
    <col min="1569" max="1569" width="20.1640625" bestFit="1" customWidth="1"/>
    <col min="1570" max="1570" width="14" bestFit="1" customWidth="1"/>
    <col min="1571" max="1571" width="15.6640625" bestFit="1" customWidth="1"/>
    <col min="1572" max="1572" width="18.6640625" bestFit="1" customWidth="1"/>
    <col min="1573" max="1573" width="46" bestFit="1" customWidth="1"/>
    <col min="1574" max="1574" width="12.5" bestFit="1" customWidth="1"/>
    <col min="1575" max="1575" width="13.83203125" bestFit="1" customWidth="1"/>
    <col min="1576" max="1792" width="8.83203125" customWidth="1"/>
    <col min="1793" max="1793" width="36.5" bestFit="1" customWidth="1"/>
    <col min="1794" max="1794" width="7.5" bestFit="1" customWidth="1"/>
    <col min="1795" max="1795" width="7.6640625" bestFit="1" customWidth="1"/>
    <col min="1796" max="1796" width="9.5" bestFit="1" customWidth="1"/>
    <col min="1797" max="1797" width="4.33203125" bestFit="1" customWidth="1"/>
    <col min="1798" max="1798" width="4.5" bestFit="1" customWidth="1"/>
    <col min="1799" max="1799" width="20.6640625" bestFit="1" customWidth="1"/>
    <col min="1800" max="1800" width="5.5" customWidth="1"/>
    <col min="1801" max="1801" width="8.5" bestFit="1" customWidth="1"/>
    <col min="1802" max="1802" width="9.5" bestFit="1" customWidth="1"/>
    <col min="1803" max="1803" width="11.6640625" bestFit="1" customWidth="1"/>
    <col min="1804" max="1804" width="14.33203125" bestFit="1" customWidth="1"/>
    <col min="1805" max="1805" width="12.5" bestFit="1" customWidth="1"/>
    <col min="1806" max="1806" width="19" bestFit="1" customWidth="1"/>
    <col min="1807" max="1807" width="20.5" bestFit="1" customWidth="1"/>
    <col min="1808" max="1808" width="12.6640625" bestFit="1" customWidth="1"/>
    <col min="1809" max="1809" width="14.1640625" bestFit="1" customWidth="1"/>
    <col min="1810" max="1810" width="14.33203125" bestFit="1" customWidth="1"/>
    <col min="1811" max="1811" width="14" bestFit="1" customWidth="1"/>
    <col min="1812" max="1812" width="15" bestFit="1" customWidth="1"/>
    <col min="1813" max="1813" width="17" bestFit="1" customWidth="1"/>
    <col min="1814" max="1814" width="14.83203125" bestFit="1" customWidth="1"/>
    <col min="1815" max="1815" width="13" bestFit="1" customWidth="1"/>
    <col min="1816" max="1816" width="19.5" bestFit="1" customWidth="1"/>
    <col min="1817" max="1817" width="9.83203125" bestFit="1" customWidth="1"/>
    <col min="1818" max="1818" width="14.33203125" bestFit="1" customWidth="1"/>
    <col min="1819" max="1819" width="12.5" bestFit="1" customWidth="1"/>
    <col min="1820" max="1820" width="19" bestFit="1" customWidth="1"/>
    <col min="1821" max="1821" width="10.6640625" bestFit="1" customWidth="1"/>
    <col min="1822" max="1822" width="14.6640625" bestFit="1" customWidth="1"/>
    <col min="1823" max="1823" width="12.83203125" bestFit="1" customWidth="1"/>
    <col min="1824" max="1824" width="19.33203125" bestFit="1" customWidth="1"/>
    <col min="1825" max="1825" width="20.1640625" bestFit="1" customWidth="1"/>
    <col min="1826" max="1826" width="14" bestFit="1" customWidth="1"/>
    <col min="1827" max="1827" width="15.6640625" bestFit="1" customWidth="1"/>
    <col min="1828" max="1828" width="18.6640625" bestFit="1" customWidth="1"/>
    <col min="1829" max="1829" width="46" bestFit="1" customWidth="1"/>
    <col min="1830" max="1830" width="12.5" bestFit="1" customWidth="1"/>
    <col min="1831" max="1831" width="13.83203125" bestFit="1" customWidth="1"/>
    <col min="1832" max="2048" width="8.83203125" customWidth="1"/>
    <col min="2049" max="2049" width="36.5" bestFit="1" customWidth="1"/>
    <col min="2050" max="2050" width="7.5" bestFit="1" customWidth="1"/>
    <col min="2051" max="2051" width="7.6640625" bestFit="1" customWidth="1"/>
    <col min="2052" max="2052" width="9.5" bestFit="1" customWidth="1"/>
    <col min="2053" max="2053" width="4.33203125" bestFit="1" customWidth="1"/>
    <col min="2054" max="2054" width="4.5" bestFit="1" customWidth="1"/>
    <col min="2055" max="2055" width="20.6640625" bestFit="1" customWidth="1"/>
    <col min="2056" max="2056" width="5.5" customWidth="1"/>
    <col min="2057" max="2057" width="8.5" bestFit="1" customWidth="1"/>
    <col min="2058" max="2058" width="9.5" bestFit="1" customWidth="1"/>
    <col min="2059" max="2059" width="11.6640625" bestFit="1" customWidth="1"/>
    <col min="2060" max="2060" width="14.33203125" bestFit="1" customWidth="1"/>
    <col min="2061" max="2061" width="12.5" bestFit="1" customWidth="1"/>
    <col min="2062" max="2062" width="19" bestFit="1" customWidth="1"/>
    <col min="2063" max="2063" width="20.5" bestFit="1" customWidth="1"/>
    <col min="2064" max="2064" width="12.6640625" bestFit="1" customWidth="1"/>
    <col min="2065" max="2065" width="14.1640625" bestFit="1" customWidth="1"/>
    <col min="2066" max="2066" width="14.33203125" bestFit="1" customWidth="1"/>
    <col min="2067" max="2067" width="14" bestFit="1" customWidth="1"/>
    <col min="2068" max="2068" width="15" bestFit="1" customWidth="1"/>
    <col min="2069" max="2069" width="17" bestFit="1" customWidth="1"/>
    <col min="2070" max="2070" width="14.83203125" bestFit="1" customWidth="1"/>
    <col min="2071" max="2071" width="13" bestFit="1" customWidth="1"/>
    <col min="2072" max="2072" width="19.5" bestFit="1" customWidth="1"/>
    <col min="2073" max="2073" width="9.83203125" bestFit="1" customWidth="1"/>
    <col min="2074" max="2074" width="14.33203125" bestFit="1" customWidth="1"/>
    <col min="2075" max="2075" width="12.5" bestFit="1" customWidth="1"/>
    <col min="2076" max="2076" width="19" bestFit="1" customWidth="1"/>
    <col min="2077" max="2077" width="10.6640625" bestFit="1" customWidth="1"/>
    <col min="2078" max="2078" width="14.6640625" bestFit="1" customWidth="1"/>
    <col min="2079" max="2079" width="12.83203125" bestFit="1" customWidth="1"/>
    <col min="2080" max="2080" width="19.33203125" bestFit="1" customWidth="1"/>
    <col min="2081" max="2081" width="20.1640625" bestFit="1" customWidth="1"/>
    <col min="2082" max="2082" width="14" bestFit="1" customWidth="1"/>
    <col min="2083" max="2083" width="15.6640625" bestFit="1" customWidth="1"/>
    <col min="2084" max="2084" width="18.6640625" bestFit="1" customWidth="1"/>
    <col min="2085" max="2085" width="46" bestFit="1" customWidth="1"/>
    <col min="2086" max="2086" width="12.5" bestFit="1" customWidth="1"/>
    <col min="2087" max="2087" width="13.83203125" bestFit="1" customWidth="1"/>
    <col min="2088" max="2304" width="8.83203125" customWidth="1"/>
    <col min="2305" max="2305" width="36.5" bestFit="1" customWidth="1"/>
    <col min="2306" max="2306" width="7.5" bestFit="1" customWidth="1"/>
    <col min="2307" max="2307" width="7.6640625" bestFit="1" customWidth="1"/>
    <col min="2308" max="2308" width="9.5" bestFit="1" customWidth="1"/>
    <col min="2309" max="2309" width="4.33203125" bestFit="1" customWidth="1"/>
    <col min="2310" max="2310" width="4.5" bestFit="1" customWidth="1"/>
    <col min="2311" max="2311" width="20.6640625" bestFit="1" customWidth="1"/>
    <col min="2312" max="2312" width="5.5" customWidth="1"/>
    <col min="2313" max="2313" width="8.5" bestFit="1" customWidth="1"/>
    <col min="2314" max="2314" width="9.5" bestFit="1" customWidth="1"/>
    <col min="2315" max="2315" width="11.6640625" bestFit="1" customWidth="1"/>
    <col min="2316" max="2316" width="14.33203125" bestFit="1" customWidth="1"/>
    <col min="2317" max="2317" width="12.5" bestFit="1" customWidth="1"/>
    <col min="2318" max="2318" width="19" bestFit="1" customWidth="1"/>
    <col min="2319" max="2319" width="20.5" bestFit="1" customWidth="1"/>
    <col min="2320" max="2320" width="12.6640625" bestFit="1" customWidth="1"/>
    <col min="2321" max="2321" width="14.1640625" bestFit="1" customWidth="1"/>
    <col min="2322" max="2322" width="14.33203125" bestFit="1" customWidth="1"/>
    <col min="2323" max="2323" width="14" bestFit="1" customWidth="1"/>
    <col min="2324" max="2324" width="15" bestFit="1" customWidth="1"/>
    <col min="2325" max="2325" width="17" bestFit="1" customWidth="1"/>
    <col min="2326" max="2326" width="14.83203125" bestFit="1" customWidth="1"/>
    <col min="2327" max="2327" width="13" bestFit="1" customWidth="1"/>
    <col min="2328" max="2328" width="19.5" bestFit="1" customWidth="1"/>
    <col min="2329" max="2329" width="9.83203125" bestFit="1" customWidth="1"/>
    <col min="2330" max="2330" width="14.33203125" bestFit="1" customWidth="1"/>
    <col min="2331" max="2331" width="12.5" bestFit="1" customWidth="1"/>
    <col min="2332" max="2332" width="19" bestFit="1" customWidth="1"/>
    <col min="2333" max="2333" width="10.6640625" bestFit="1" customWidth="1"/>
    <col min="2334" max="2334" width="14.6640625" bestFit="1" customWidth="1"/>
    <col min="2335" max="2335" width="12.83203125" bestFit="1" customWidth="1"/>
    <col min="2336" max="2336" width="19.33203125" bestFit="1" customWidth="1"/>
    <col min="2337" max="2337" width="20.1640625" bestFit="1" customWidth="1"/>
    <col min="2338" max="2338" width="14" bestFit="1" customWidth="1"/>
    <col min="2339" max="2339" width="15.6640625" bestFit="1" customWidth="1"/>
    <col min="2340" max="2340" width="18.6640625" bestFit="1" customWidth="1"/>
    <col min="2341" max="2341" width="46" bestFit="1" customWidth="1"/>
    <col min="2342" max="2342" width="12.5" bestFit="1" customWidth="1"/>
    <col min="2343" max="2343" width="13.83203125" bestFit="1" customWidth="1"/>
    <col min="2344" max="2560" width="8.83203125" customWidth="1"/>
    <col min="2561" max="2561" width="36.5" bestFit="1" customWidth="1"/>
    <col min="2562" max="2562" width="7.5" bestFit="1" customWidth="1"/>
    <col min="2563" max="2563" width="7.6640625" bestFit="1" customWidth="1"/>
    <col min="2564" max="2564" width="9.5" bestFit="1" customWidth="1"/>
    <col min="2565" max="2565" width="4.33203125" bestFit="1" customWidth="1"/>
    <col min="2566" max="2566" width="4.5" bestFit="1" customWidth="1"/>
    <col min="2567" max="2567" width="20.6640625" bestFit="1" customWidth="1"/>
    <col min="2568" max="2568" width="5.5" customWidth="1"/>
    <col min="2569" max="2569" width="8.5" bestFit="1" customWidth="1"/>
    <col min="2570" max="2570" width="9.5" bestFit="1" customWidth="1"/>
    <col min="2571" max="2571" width="11.6640625" bestFit="1" customWidth="1"/>
    <col min="2572" max="2572" width="14.33203125" bestFit="1" customWidth="1"/>
    <col min="2573" max="2573" width="12.5" bestFit="1" customWidth="1"/>
    <col min="2574" max="2574" width="19" bestFit="1" customWidth="1"/>
    <col min="2575" max="2575" width="20.5" bestFit="1" customWidth="1"/>
    <col min="2576" max="2576" width="12.6640625" bestFit="1" customWidth="1"/>
    <col min="2577" max="2577" width="14.1640625" bestFit="1" customWidth="1"/>
    <col min="2578" max="2578" width="14.33203125" bestFit="1" customWidth="1"/>
    <col min="2579" max="2579" width="14" bestFit="1" customWidth="1"/>
    <col min="2580" max="2580" width="15" bestFit="1" customWidth="1"/>
    <col min="2581" max="2581" width="17" bestFit="1" customWidth="1"/>
    <col min="2582" max="2582" width="14.83203125" bestFit="1" customWidth="1"/>
    <col min="2583" max="2583" width="13" bestFit="1" customWidth="1"/>
    <col min="2584" max="2584" width="19.5" bestFit="1" customWidth="1"/>
    <col min="2585" max="2585" width="9.83203125" bestFit="1" customWidth="1"/>
    <col min="2586" max="2586" width="14.33203125" bestFit="1" customWidth="1"/>
    <col min="2587" max="2587" width="12.5" bestFit="1" customWidth="1"/>
    <col min="2588" max="2588" width="19" bestFit="1" customWidth="1"/>
    <col min="2589" max="2589" width="10.6640625" bestFit="1" customWidth="1"/>
    <col min="2590" max="2590" width="14.6640625" bestFit="1" customWidth="1"/>
    <col min="2591" max="2591" width="12.83203125" bestFit="1" customWidth="1"/>
    <col min="2592" max="2592" width="19.33203125" bestFit="1" customWidth="1"/>
    <col min="2593" max="2593" width="20.1640625" bestFit="1" customWidth="1"/>
    <col min="2594" max="2594" width="14" bestFit="1" customWidth="1"/>
    <col min="2595" max="2595" width="15.6640625" bestFit="1" customWidth="1"/>
    <col min="2596" max="2596" width="18.6640625" bestFit="1" customWidth="1"/>
    <col min="2597" max="2597" width="46" bestFit="1" customWidth="1"/>
    <col min="2598" max="2598" width="12.5" bestFit="1" customWidth="1"/>
    <col min="2599" max="2599" width="13.83203125" bestFit="1" customWidth="1"/>
    <col min="2600" max="2816" width="8.83203125" customWidth="1"/>
    <col min="2817" max="2817" width="36.5" bestFit="1" customWidth="1"/>
    <col min="2818" max="2818" width="7.5" bestFit="1" customWidth="1"/>
    <col min="2819" max="2819" width="7.6640625" bestFit="1" customWidth="1"/>
    <col min="2820" max="2820" width="9.5" bestFit="1" customWidth="1"/>
    <col min="2821" max="2821" width="4.33203125" bestFit="1" customWidth="1"/>
    <col min="2822" max="2822" width="4.5" bestFit="1" customWidth="1"/>
    <col min="2823" max="2823" width="20.6640625" bestFit="1" customWidth="1"/>
    <col min="2824" max="2824" width="5.5" customWidth="1"/>
    <col min="2825" max="2825" width="8.5" bestFit="1" customWidth="1"/>
    <col min="2826" max="2826" width="9.5" bestFit="1" customWidth="1"/>
    <col min="2827" max="2827" width="11.6640625" bestFit="1" customWidth="1"/>
    <col min="2828" max="2828" width="14.33203125" bestFit="1" customWidth="1"/>
    <col min="2829" max="2829" width="12.5" bestFit="1" customWidth="1"/>
    <col min="2830" max="2830" width="19" bestFit="1" customWidth="1"/>
    <col min="2831" max="2831" width="20.5" bestFit="1" customWidth="1"/>
    <col min="2832" max="2832" width="12.6640625" bestFit="1" customWidth="1"/>
    <col min="2833" max="2833" width="14.1640625" bestFit="1" customWidth="1"/>
    <col min="2834" max="2834" width="14.33203125" bestFit="1" customWidth="1"/>
    <col min="2835" max="2835" width="14" bestFit="1" customWidth="1"/>
    <col min="2836" max="2836" width="15" bestFit="1" customWidth="1"/>
    <col min="2837" max="2837" width="17" bestFit="1" customWidth="1"/>
    <col min="2838" max="2838" width="14.83203125" bestFit="1" customWidth="1"/>
    <col min="2839" max="2839" width="13" bestFit="1" customWidth="1"/>
    <col min="2840" max="2840" width="19.5" bestFit="1" customWidth="1"/>
    <col min="2841" max="2841" width="9.83203125" bestFit="1" customWidth="1"/>
    <col min="2842" max="2842" width="14.33203125" bestFit="1" customWidth="1"/>
    <col min="2843" max="2843" width="12.5" bestFit="1" customWidth="1"/>
    <col min="2844" max="2844" width="19" bestFit="1" customWidth="1"/>
    <col min="2845" max="2845" width="10.6640625" bestFit="1" customWidth="1"/>
    <col min="2846" max="2846" width="14.6640625" bestFit="1" customWidth="1"/>
    <col min="2847" max="2847" width="12.83203125" bestFit="1" customWidth="1"/>
    <col min="2848" max="2848" width="19.33203125" bestFit="1" customWidth="1"/>
    <col min="2849" max="2849" width="20.1640625" bestFit="1" customWidth="1"/>
    <col min="2850" max="2850" width="14" bestFit="1" customWidth="1"/>
    <col min="2851" max="2851" width="15.6640625" bestFit="1" customWidth="1"/>
    <col min="2852" max="2852" width="18.6640625" bestFit="1" customWidth="1"/>
    <col min="2853" max="2853" width="46" bestFit="1" customWidth="1"/>
    <col min="2854" max="2854" width="12.5" bestFit="1" customWidth="1"/>
    <col min="2855" max="2855" width="13.83203125" bestFit="1" customWidth="1"/>
    <col min="2856" max="3072" width="8.83203125" customWidth="1"/>
    <col min="3073" max="3073" width="36.5" bestFit="1" customWidth="1"/>
    <col min="3074" max="3074" width="7.5" bestFit="1" customWidth="1"/>
    <col min="3075" max="3075" width="7.6640625" bestFit="1" customWidth="1"/>
    <col min="3076" max="3076" width="9.5" bestFit="1" customWidth="1"/>
    <col min="3077" max="3077" width="4.33203125" bestFit="1" customWidth="1"/>
    <col min="3078" max="3078" width="4.5" bestFit="1" customWidth="1"/>
    <col min="3079" max="3079" width="20.6640625" bestFit="1" customWidth="1"/>
    <col min="3080" max="3080" width="5.5" customWidth="1"/>
    <col min="3081" max="3081" width="8.5" bestFit="1" customWidth="1"/>
    <col min="3082" max="3082" width="9.5" bestFit="1" customWidth="1"/>
    <col min="3083" max="3083" width="11.6640625" bestFit="1" customWidth="1"/>
    <col min="3084" max="3084" width="14.33203125" bestFit="1" customWidth="1"/>
    <col min="3085" max="3085" width="12.5" bestFit="1" customWidth="1"/>
    <col min="3086" max="3086" width="19" bestFit="1" customWidth="1"/>
    <col min="3087" max="3087" width="20.5" bestFit="1" customWidth="1"/>
    <col min="3088" max="3088" width="12.6640625" bestFit="1" customWidth="1"/>
    <col min="3089" max="3089" width="14.1640625" bestFit="1" customWidth="1"/>
    <col min="3090" max="3090" width="14.33203125" bestFit="1" customWidth="1"/>
    <col min="3091" max="3091" width="14" bestFit="1" customWidth="1"/>
    <col min="3092" max="3092" width="15" bestFit="1" customWidth="1"/>
    <col min="3093" max="3093" width="17" bestFit="1" customWidth="1"/>
    <col min="3094" max="3094" width="14.83203125" bestFit="1" customWidth="1"/>
    <col min="3095" max="3095" width="13" bestFit="1" customWidth="1"/>
    <col min="3096" max="3096" width="19.5" bestFit="1" customWidth="1"/>
    <col min="3097" max="3097" width="9.83203125" bestFit="1" customWidth="1"/>
    <col min="3098" max="3098" width="14.33203125" bestFit="1" customWidth="1"/>
    <col min="3099" max="3099" width="12.5" bestFit="1" customWidth="1"/>
    <col min="3100" max="3100" width="19" bestFit="1" customWidth="1"/>
    <col min="3101" max="3101" width="10.6640625" bestFit="1" customWidth="1"/>
    <col min="3102" max="3102" width="14.6640625" bestFit="1" customWidth="1"/>
    <col min="3103" max="3103" width="12.83203125" bestFit="1" customWidth="1"/>
    <col min="3104" max="3104" width="19.33203125" bestFit="1" customWidth="1"/>
    <col min="3105" max="3105" width="20.1640625" bestFit="1" customWidth="1"/>
    <col min="3106" max="3106" width="14" bestFit="1" customWidth="1"/>
    <col min="3107" max="3107" width="15.6640625" bestFit="1" customWidth="1"/>
    <col min="3108" max="3108" width="18.6640625" bestFit="1" customWidth="1"/>
    <col min="3109" max="3109" width="46" bestFit="1" customWidth="1"/>
    <col min="3110" max="3110" width="12.5" bestFit="1" customWidth="1"/>
    <col min="3111" max="3111" width="13.83203125" bestFit="1" customWidth="1"/>
    <col min="3112" max="3328" width="8.83203125" customWidth="1"/>
    <col min="3329" max="3329" width="36.5" bestFit="1" customWidth="1"/>
    <col min="3330" max="3330" width="7.5" bestFit="1" customWidth="1"/>
    <col min="3331" max="3331" width="7.6640625" bestFit="1" customWidth="1"/>
    <col min="3332" max="3332" width="9.5" bestFit="1" customWidth="1"/>
    <col min="3333" max="3333" width="4.33203125" bestFit="1" customWidth="1"/>
    <col min="3334" max="3334" width="4.5" bestFit="1" customWidth="1"/>
    <col min="3335" max="3335" width="20.6640625" bestFit="1" customWidth="1"/>
    <col min="3336" max="3336" width="5.5" customWidth="1"/>
    <col min="3337" max="3337" width="8.5" bestFit="1" customWidth="1"/>
    <col min="3338" max="3338" width="9.5" bestFit="1" customWidth="1"/>
    <col min="3339" max="3339" width="11.6640625" bestFit="1" customWidth="1"/>
    <col min="3340" max="3340" width="14.33203125" bestFit="1" customWidth="1"/>
    <col min="3341" max="3341" width="12.5" bestFit="1" customWidth="1"/>
    <col min="3342" max="3342" width="19" bestFit="1" customWidth="1"/>
    <col min="3343" max="3343" width="20.5" bestFit="1" customWidth="1"/>
    <col min="3344" max="3344" width="12.6640625" bestFit="1" customWidth="1"/>
    <col min="3345" max="3345" width="14.1640625" bestFit="1" customWidth="1"/>
    <col min="3346" max="3346" width="14.33203125" bestFit="1" customWidth="1"/>
    <col min="3347" max="3347" width="14" bestFit="1" customWidth="1"/>
    <col min="3348" max="3348" width="15" bestFit="1" customWidth="1"/>
    <col min="3349" max="3349" width="17" bestFit="1" customWidth="1"/>
    <col min="3350" max="3350" width="14.83203125" bestFit="1" customWidth="1"/>
    <col min="3351" max="3351" width="13" bestFit="1" customWidth="1"/>
    <col min="3352" max="3352" width="19.5" bestFit="1" customWidth="1"/>
    <col min="3353" max="3353" width="9.83203125" bestFit="1" customWidth="1"/>
    <col min="3354" max="3354" width="14.33203125" bestFit="1" customWidth="1"/>
    <col min="3355" max="3355" width="12.5" bestFit="1" customWidth="1"/>
    <col min="3356" max="3356" width="19" bestFit="1" customWidth="1"/>
    <col min="3357" max="3357" width="10.6640625" bestFit="1" customWidth="1"/>
    <col min="3358" max="3358" width="14.6640625" bestFit="1" customWidth="1"/>
    <col min="3359" max="3359" width="12.83203125" bestFit="1" customWidth="1"/>
    <col min="3360" max="3360" width="19.33203125" bestFit="1" customWidth="1"/>
    <col min="3361" max="3361" width="20.1640625" bestFit="1" customWidth="1"/>
    <col min="3362" max="3362" width="14" bestFit="1" customWidth="1"/>
    <col min="3363" max="3363" width="15.6640625" bestFit="1" customWidth="1"/>
    <col min="3364" max="3364" width="18.6640625" bestFit="1" customWidth="1"/>
    <col min="3365" max="3365" width="46" bestFit="1" customWidth="1"/>
    <col min="3366" max="3366" width="12.5" bestFit="1" customWidth="1"/>
    <col min="3367" max="3367" width="13.83203125" bestFit="1" customWidth="1"/>
    <col min="3368" max="3584" width="8.83203125" customWidth="1"/>
    <col min="3585" max="3585" width="36.5" bestFit="1" customWidth="1"/>
    <col min="3586" max="3586" width="7.5" bestFit="1" customWidth="1"/>
    <col min="3587" max="3587" width="7.6640625" bestFit="1" customWidth="1"/>
    <col min="3588" max="3588" width="9.5" bestFit="1" customWidth="1"/>
    <col min="3589" max="3589" width="4.33203125" bestFit="1" customWidth="1"/>
    <col min="3590" max="3590" width="4.5" bestFit="1" customWidth="1"/>
    <col min="3591" max="3591" width="20.6640625" bestFit="1" customWidth="1"/>
    <col min="3592" max="3592" width="5.5" customWidth="1"/>
    <col min="3593" max="3593" width="8.5" bestFit="1" customWidth="1"/>
    <col min="3594" max="3594" width="9.5" bestFit="1" customWidth="1"/>
    <col min="3595" max="3595" width="11.6640625" bestFit="1" customWidth="1"/>
    <col min="3596" max="3596" width="14.33203125" bestFit="1" customWidth="1"/>
    <col min="3597" max="3597" width="12.5" bestFit="1" customWidth="1"/>
    <col min="3598" max="3598" width="19" bestFit="1" customWidth="1"/>
    <col min="3599" max="3599" width="20.5" bestFit="1" customWidth="1"/>
    <col min="3600" max="3600" width="12.6640625" bestFit="1" customWidth="1"/>
    <col min="3601" max="3601" width="14.1640625" bestFit="1" customWidth="1"/>
    <col min="3602" max="3602" width="14.33203125" bestFit="1" customWidth="1"/>
    <col min="3603" max="3603" width="14" bestFit="1" customWidth="1"/>
    <col min="3604" max="3604" width="15" bestFit="1" customWidth="1"/>
    <col min="3605" max="3605" width="17" bestFit="1" customWidth="1"/>
    <col min="3606" max="3606" width="14.83203125" bestFit="1" customWidth="1"/>
    <col min="3607" max="3607" width="13" bestFit="1" customWidth="1"/>
    <col min="3608" max="3608" width="19.5" bestFit="1" customWidth="1"/>
    <col min="3609" max="3609" width="9.83203125" bestFit="1" customWidth="1"/>
    <col min="3610" max="3610" width="14.33203125" bestFit="1" customWidth="1"/>
    <col min="3611" max="3611" width="12.5" bestFit="1" customWidth="1"/>
    <col min="3612" max="3612" width="19" bestFit="1" customWidth="1"/>
    <col min="3613" max="3613" width="10.6640625" bestFit="1" customWidth="1"/>
    <col min="3614" max="3614" width="14.6640625" bestFit="1" customWidth="1"/>
    <col min="3615" max="3615" width="12.83203125" bestFit="1" customWidth="1"/>
    <col min="3616" max="3616" width="19.33203125" bestFit="1" customWidth="1"/>
    <col min="3617" max="3617" width="20.1640625" bestFit="1" customWidth="1"/>
    <col min="3618" max="3618" width="14" bestFit="1" customWidth="1"/>
    <col min="3619" max="3619" width="15.6640625" bestFit="1" customWidth="1"/>
    <col min="3620" max="3620" width="18.6640625" bestFit="1" customWidth="1"/>
    <col min="3621" max="3621" width="46" bestFit="1" customWidth="1"/>
    <col min="3622" max="3622" width="12.5" bestFit="1" customWidth="1"/>
    <col min="3623" max="3623" width="13.83203125" bestFit="1" customWidth="1"/>
    <col min="3624" max="3840" width="8.83203125" customWidth="1"/>
    <col min="3841" max="3841" width="36.5" bestFit="1" customWidth="1"/>
    <col min="3842" max="3842" width="7.5" bestFit="1" customWidth="1"/>
    <col min="3843" max="3843" width="7.6640625" bestFit="1" customWidth="1"/>
    <col min="3844" max="3844" width="9.5" bestFit="1" customWidth="1"/>
    <col min="3845" max="3845" width="4.33203125" bestFit="1" customWidth="1"/>
    <col min="3846" max="3846" width="4.5" bestFit="1" customWidth="1"/>
    <col min="3847" max="3847" width="20.6640625" bestFit="1" customWidth="1"/>
    <col min="3848" max="3848" width="5.5" customWidth="1"/>
    <col min="3849" max="3849" width="8.5" bestFit="1" customWidth="1"/>
    <col min="3850" max="3850" width="9.5" bestFit="1" customWidth="1"/>
    <col min="3851" max="3851" width="11.6640625" bestFit="1" customWidth="1"/>
    <col min="3852" max="3852" width="14.33203125" bestFit="1" customWidth="1"/>
    <col min="3853" max="3853" width="12.5" bestFit="1" customWidth="1"/>
    <col min="3854" max="3854" width="19" bestFit="1" customWidth="1"/>
    <col min="3855" max="3855" width="20.5" bestFit="1" customWidth="1"/>
    <col min="3856" max="3856" width="12.6640625" bestFit="1" customWidth="1"/>
    <col min="3857" max="3857" width="14.1640625" bestFit="1" customWidth="1"/>
    <col min="3858" max="3858" width="14.33203125" bestFit="1" customWidth="1"/>
    <col min="3859" max="3859" width="14" bestFit="1" customWidth="1"/>
    <col min="3860" max="3860" width="15" bestFit="1" customWidth="1"/>
    <col min="3861" max="3861" width="17" bestFit="1" customWidth="1"/>
    <col min="3862" max="3862" width="14.83203125" bestFit="1" customWidth="1"/>
    <col min="3863" max="3863" width="13" bestFit="1" customWidth="1"/>
    <col min="3864" max="3864" width="19.5" bestFit="1" customWidth="1"/>
    <col min="3865" max="3865" width="9.83203125" bestFit="1" customWidth="1"/>
    <col min="3866" max="3866" width="14.33203125" bestFit="1" customWidth="1"/>
    <col min="3867" max="3867" width="12.5" bestFit="1" customWidth="1"/>
    <col min="3868" max="3868" width="19" bestFit="1" customWidth="1"/>
    <col min="3869" max="3869" width="10.6640625" bestFit="1" customWidth="1"/>
    <col min="3870" max="3870" width="14.6640625" bestFit="1" customWidth="1"/>
    <col min="3871" max="3871" width="12.83203125" bestFit="1" customWidth="1"/>
    <col min="3872" max="3872" width="19.33203125" bestFit="1" customWidth="1"/>
    <col min="3873" max="3873" width="20.1640625" bestFit="1" customWidth="1"/>
    <col min="3874" max="3874" width="14" bestFit="1" customWidth="1"/>
    <col min="3875" max="3875" width="15.6640625" bestFit="1" customWidth="1"/>
    <col min="3876" max="3876" width="18.6640625" bestFit="1" customWidth="1"/>
    <col min="3877" max="3877" width="46" bestFit="1" customWidth="1"/>
    <col min="3878" max="3878" width="12.5" bestFit="1" customWidth="1"/>
    <col min="3879" max="3879" width="13.83203125" bestFit="1" customWidth="1"/>
    <col min="3880" max="4096" width="8.83203125" customWidth="1"/>
    <col min="4097" max="4097" width="36.5" bestFit="1" customWidth="1"/>
    <col min="4098" max="4098" width="7.5" bestFit="1" customWidth="1"/>
    <col min="4099" max="4099" width="7.6640625" bestFit="1" customWidth="1"/>
    <col min="4100" max="4100" width="9.5" bestFit="1" customWidth="1"/>
    <col min="4101" max="4101" width="4.33203125" bestFit="1" customWidth="1"/>
    <col min="4102" max="4102" width="4.5" bestFit="1" customWidth="1"/>
    <col min="4103" max="4103" width="20.6640625" bestFit="1" customWidth="1"/>
    <col min="4104" max="4104" width="5.5" customWidth="1"/>
    <col min="4105" max="4105" width="8.5" bestFit="1" customWidth="1"/>
    <col min="4106" max="4106" width="9.5" bestFit="1" customWidth="1"/>
    <col min="4107" max="4107" width="11.6640625" bestFit="1" customWidth="1"/>
    <col min="4108" max="4108" width="14.33203125" bestFit="1" customWidth="1"/>
    <col min="4109" max="4109" width="12.5" bestFit="1" customWidth="1"/>
    <col min="4110" max="4110" width="19" bestFit="1" customWidth="1"/>
    <col min="4111" max="4111" width="20.5" bestFit="1" customWidth="1"/>
    <col min="4112" max="4112" width="12.6640625" bestFit="1" customWidth="1"/>
    <col min="4113" max="4113" width="14.1640625" bestFit="1" customWidth="1"/>
    <col min="4114" max="4114" width="14.33203125" bestFit="1" customWidth="1"/>
    <col min="4115" max="4115" width="14" bestFit="1" customWidth="1"/>
    <col min="4116" max="4116" width="15" bestFit="1" customWidth="1"/>
    <col min="4117" max="4117" width="17" bestFit="1" customWidth="1"/>
    <col min="4118" max="4118" width="14.83203125" bestFit="1" customWidth="1"/>
    <col min="4119" max="4119" width="13" bestFit="1" customWidth="1"/>
    <col min="4120" max="4120" width="19.5" bestFit="1" customWidth="1"/>
    <col min="4121" max="4121" width="9.83203125" bestFit="1" customWidth="1"/>
    <col min="4122" max="4122" width="14.33203125" bestFit="1" customWidth="1"/>
    <col min="4123" max="4123" width="12.5" bestFit="1" customWidth="1"/>
    <col min="4124" max="4124" width="19" bestFit="1" customWidth="1"/>
    <col min="4125" max="4125" width="10.6640625" bestFit="1" customWidth="1"/>
    <col min="4126" max="4126" width="14.6640625" bestFit="1" customWidth="1"/>
    <col min="4127" max="4127" width="12.83203125" bestFit="1" customWidth="1"/>
    <col min="4128" max="4128" width="19.33203125" bestFit="1" customWidth="1"/>
    <col min="4129" max="4129" width="20.1640625" bestFit="1" customWidth="1"/>
    <col min="4130" max="4130" width="14" bestFit="1" customWidth="1"/>
    <col min="4131" max="4131" width="15.6640625" bestFit="1" customWidth="1"/>
    <col min="4132" max="4132" width="18.6640625" bestFit="1" customWidth="1"/>
    <col min="4133" max="4133" width="46" bestFit="1" customWidth="1"/>
    <col min="4134" max="4134" width="12.5" bestFit="1" customWidth="1"/>
    <col min="4135" max="4135" width="13.83203125" bestFit="1" customWidth="1"/>
    <col min="4136" max="4352" width="8.83203125" customWidth="1"/>
    <col min="4353" max="4353" width="36.5" bestFit="1" customWidth="1"/>
    <col min="4354" max="4354" width="7.5" bestFit="1" customWidth="1"/>
    <col min="4355" max="4355" width="7.6640625" bestFit="1" customWidth="1"/>
    <col min="4356" max="4356" width="9.5" bestFit="1" customWidth="1"/>
    <col min="4357" max="4357" width="4.33203125" bestFit="1" customWidth="1"/>
    <col min="4358" max="4358" width="4.5" bestFit="1" customWidth="1"/>
    <col min="4359" max="4359" width="20.6640625" bestFit="1" customWidth="1"/>
    <col min="4360" max="4360" width="5.5" customWidth="1"/>
    <col min="4361" max="4361" width="8.5" bestFit="1" customWidth="1"/>
    <col min="4362" max="4362" width="9.5" bestFit="1" customWidth="1"/>
    <col min="4363" max="4363" width="11.6640625" bestFit="1" customWidth="1"/>
    <col min="4364" max="4364" width="14.33203125" bestFit="1" customWidth="1"/>
    <col min="4365" max="4365" width="12.5" bestFit="1" customWidth="1"/>
    <col min="4366" max="4366" width="19" bestFit="1" customWidth="1"/>
    <col min="4367" max="4367" width="20.5" bestFit="1" customWidth="1"/>
    <col min="4368" max="4368" width="12.6640625" bestFit="1" customWidth="1"/>
    <col min="4369" max="4369" width="14.1640625" bestFit="1" customWidth="1"/>
    <col min="4370" max="4370" width="14.33203125" bestFit="1" customWidth="1"/>
    <col min="4371" max="4371" width="14" bestFit="1" customWidth="1"/>
    <col min="4372" max="4372" width="15" bestFit="1" customWidth="1"/>
    <col min="4373" max="4373" width="17" bestFit="1" customWidth="1"/>
    <col min="4374" max="4374" width="14.83203125" bestFit="1" customWidth="1"/>
    <col min="4375" max="4375" width="13" bestFit="1" customWidth="1"/>
    <col min="4376" max="4376" width="19.5" bestFit="1" customWidth="1"/>
    <col min="4377" max="4377" width="9.83203125" bestFit="1" customWidth="1"/>
    <col min="4378" max="4378" width="14.33203125" bestFit="1" customWidth="1"/>
    <col min="4379" max="4379" width="12.5" bestFit="1" customWidth="1"/>
    <col min="4380" max="4380" width="19" bestFit="1" customWidth="1"/>
    <col min="4381" max="4381" width="10.6640625" bestFit="1" customWidth="1"/>
    <col min="4382" max="4382" width="14.6640625" bestFit="1" customWidth="1"/>
    <col min="4383" max="4383" width="12.83203125" bestFit="1" customWidth="1"/>
    <col min="4384" max="4384" width="19.33203125" bestFit="1" customWidth="1"/>
    <col min="4385" max="4385" width="20.1640625" bestFit="1" customWidth="1"/>
    <col min="4386" max="4386" width="14" bestFit="1" customWidth="1"/>
    <col min="4387" max="4387" width="15.6640625" bestFit="1" customWidth="1"/>
    <col min="4388" max="4388" width="18.6640625" bestFit="1" customWidth="1"/>
    <col min="4389" max="4389" width="46" bestFit="1" customWidth="1"/>
    <col min="4390" max="4390" width="12.5" bestFit="1" customWidth="1"/>
    <col min="4391" max="4391" width="13.83203125" bestFit="1" customWidth="1"/>
    <col min="4392" max="4608" width="8.83203125" customWidth="1"/>
    <col min="4609" max="4609" width="36.5" bestFit="1" customWidth="1"/>
    <col min="4610" max="4610" width="7.5" bestFit="1" customWidth="1"/>
    <col min="4611" max="4611" width="7.6640625" bestFit="1" customWidth="1"/>
    <col min="4612" max="4612" width="9.5" bestFit="1" customWidth="1"/>
    <col min="4613" max="4613" width="4.33203125" bestFit="1" customWidth="1"/>
    <col min="4614" max="4614" width="4.5" bestFit="1" customWidth="1"/>
    <col min="4615" max="4615" width="20.6640625" bestFit="1" customWidth="1"/>
    <col min="4616" max="4616" width="5.5" customWidth="1"/>
    <col min="4617" max="4617" width="8.5" bestFit="1" customWidth="1"/>
    <col min="4618" max="4618" width="9.5" bestFit="1" customWidth="1"/>
    <col min="4619" max="4619" width="11.6640625" bestFit="1" customWidth="1"/>
    <col min="4620" max="4620" width="14.33203125" bestFit="1" customWidth="1"/>
    <col min="4621" max="4621" width="12.5" bestFit="1" customWidth="1"/>
    <col min="4622" max="4622" width="19" bestFit="1" customWidth="1"/>
    <col min="4623" max="4623" width="20.5" bestFit="1" customWidth="1"/>
    <col min="4624" max="4624" width="12.6640625" bestFit="1" customWidth="1"/>
    <col min="4625" max="4625" width="14.1640625" bestFit="1" customWidth="1"/>
    <col min="4626" max="4626" width="14.33203125" bestFit="1" customWidth="1"/>
    <col min="4627" max="4627" width="14" bestFit="1" customWidth="1"/>
    <col min="4628" max="4628" width="15" bestFit="1" customWidth="1"/>
    <col min="4629" max="4629" width="17" bestFit="1" customWidth="1"/>
    <col min="4630" max="4630" width="14.83203125" bestFit="1" customWidth="1"/>
    <col min="4631" max="4631" width="13" bestFit="1" customWidth="1"/>
    <col min="4632" max="4632" width="19.5" bestFit="1" customWidth="1"/>
    <col min="4633" max="4633" width="9.83203125" bestFit="1" customWidth="1"/>
    <col min="4634" max="4634" width="14.33203125" bestFit="1" customWidth="1"/>
    <col min="4635" max="4635" width="12.5" bestFit="1" customWidth="1"/>
    <col min="4636" max="4636" width="19" bestFit="1" customWidth="1"/>
    <col min="4637" max="4637" width="10.6640625" bestFit="1" customWidth="1"/>
    <col min="4638" max="4638" width="14.6640625" bestFit="1" customWidth="1"/>
    <col min="4639" max="4639" width="12.83203125" bestFit="1" customWidth="1"/>
    <col min="4640" max="4640" width="19.33203125" bestFit="1" customWidth="1"/>
    <col min="4641" max="4641" width="20.1640625" bestFit="1" customWidth="1"/>
    <col min="4642" max="4642" width="14" bestFit="1" customWidth="1"/>
    <col min="4643" max="4643" width="15.6640625" bestFit="1" customWidth="1"/>
    <col min="4644" max="4644" width="18.6640625" bestFit="1" customWidth="1"/>
    <col min="4645" max="4645" width="46" bestFit="1" customWidth="1"/>
    <col min="4646" max="4646" width="12.5" bestFit="1" customWidth="1"/>
    <col min="4647" max="4647" width="13.83203125" bestFit="1" customWidth="1"/>
    <col min="4648" max="4864" width="8.83203125" customWidth="1"/>
    <col min="4865" max="4865" width="36.5" bestFit="1" customWidth="1"/>
    <col min="4866" max="4866" width="7.5" bestFit="1" customWidth="1"/>
    <col min="4867" max="4867" width="7.6640625" bestFit="1" customWidth="1"/>
    <col min="4868" max="4868" width="9.5" bestFit="1" customWidth="1"/>
    <col min="4869" max="4869" width="4.33203125" bestFit="1" customWidth="1"/>
    <col min="4870" max="4870" width="4.5" bestFit="1" customWidth="1"/>
    <col min="4871" max="4871" width="20.6640625" bestFit="1" customWidth="1"/>
    <col min="4872" max="4872" width="5.5" customWidth="1"/>
    <col min="4873" max="4873" width="8.5" bestFit="1" customWidth="1"/>
    <col min="4874" max="4874" width="9.5" bestFit="1" customWidth="1"/>
    <col min="4875" max="4875" width="11.6640625" bestFit="1" customWidth="1"/>
    <col min="4876" max="4876" width="14.33203125" bestFit="1" customWidth="1"/>
    <col min="4877" max="4877" width="12.5" bestFit="1" customWidth="1"/>
    <col min="4878" max="4878" width="19" bestFit="1" customWidth="1"/>
    <col min="4879" max="4879" width="20.5" bestFit="1" customWidth="1"/>
    <col min="4880" max="4880" width="12.6640625" bestFit="1" customWidth="1"/>
    <col min="4881" max="4881" width="14.1640625" bestFit="1" customWidth="1"/>
    <col min="4882" max="4882" width="14.33203125" bestFit="1" customWidth="1"/>
    <col min="4883" max="4883" width="14" bestFit="1" customWidth="1"/>
    <col min="4884" max="4884" width="15" bestFit="1" customWidth="1"/>
    <col min="4885" max="4885" width="17" bestFit="1" customWidth="1"/>
    <col min="4886" max="4886" width="14.83203125" bestFit="1" customWidth="1"/>
    <col min="4887" max="4887" width="13" bestFit="1" customWidth="1"/>
    <col min="4888" max="4888" width="19.5" bestFit="1" customWidth="1"/>
    <col min="4889" max="4889" width="9.83203125" bestFit="1" customWidth="1"/>
    <col min="4890" max="4890" width="14.33203125" bestFit="1" customWidth="1"/>
    <col min="4891" max="4891" width="12.5" bestFit="1" customWidth="1"/>
    <col min="4892" max="4892" width="19" bestFit="1" customWidth="1"/>
    <col min="4893" max="4893" width="10.6640625" bestFit="1" customWidth="1"/>
    <col min="4894" max="4894" width="14.6640625" bestFit="1" customWidth="1"/>
    <col min="4895" max="4895" width="12.83203125" bestFit="1" customWidth="1"/>
    <col min="4896" max="4896" width="19.33203125" bestFit="1" customWidth="1"/>
    <col min="4897" max="4897" width="20.1640625" bestFit="1" customWidth="1"/>
    <col min="4898" max="4898" width="14" bestFit="1" customWidth="1"/>
    <col min="4899" max="4899" width="15.6640625" bestFit="1" customWidth="1"/>
    <col min="4900" max="4900" width="18.6640625" bestFit="1" customWidth="1"/>
    <col min="4901" max="4901" width="46" bestFit="1" customWidth="1"/>
    <col min="4902" max="4902" width="12.5" bestFit="1" customWidth="1"/>
    <col min="4903" max="4903" width="13.83203125" bestFit="1" customWidth="1"/>
    <col min="4904" max="5120" width="8.83203125" customWidth="1"/>
    <col min="5121" max="5121" width="36.5" bestFit="1" customWidth="1"/>
    <col min="5122" max="5122" width="7.5" bestFit="1" customWidth="1"/>
    <col min="5123" max="5123" width="7.6640625" bestFit="1" customWidth="1"/>
    <col min="5124" max="5124" width="9.5" bestFit="1" customWidth="1"/>
    <col min="5125" max="5125" width="4.33203125" bestFit="1" customWidth="1"/>
    <col min="5126" max="5126" width="4.5" bestFit="1" customWidth="1"/>
    <col min="5127" max="5127" width="20.6640625" bestFit="1" customWidth="1"/>
    <col min="5128" max="5128" width="5.5" customWidth="1"/>
    <col min="5129" max="5129" width="8.5" bestFit="1" customWidth="1"/>
    <col min="5130" max="5130" width="9.5" bestFit="1" customWidth="1"/>
    <col min="5131" max="5131" width="11.6640625" bestFit="1" customWidth="1"/>
    <col min="5132" max="5132" width="14.33203125" bestFit="1" customWidth="1"/>
    <col min="5133" max="5133" width="12.5" bestFit="1" customWidth="1"/>
    <col min="5134" max="5134" width="19" bestFit="1" customWidth="1"/>
    <col min="5135" max="5135" width="20.5" bestFit="1" customWidth="1"/>
    <col min="5136" max="5136" width="12.6640625" bestFit="1" customWidth="1"/>
    <col min="5137" max="5137" width="14.1640625" bestFit="1" customWidth="1"/>
    <col min="5138" max="5138" width="14.33203125" bestFit="1" customWidth="1"/>
    <col min="5139" max="5139" width="14" bestFit="1" customWidth="1"/>
    <col min="5140" max="5140" width="15" bestFit="1" customWidth="1"/>
    <col min="5141" max="5141" width="17" bestFit="1" customWidth="1"/>
    <col min="5142" max="5142" width="14.83203125" bestFit="1" customWidth="1"/>
    <col min="5143" max="5143" width="13" bestFit="1" customWidth="1"/>
    <col min="5144" max="5144" width="19.5" bestFit="1" customWidth="1"/>
    <col min="5145" max="5145" width="9.83203125" bestFit="1" customWidth="1"/>
    <col min="5146" max="5146" width="14.33203125" bestFit="1" customWidth="1"/>
    <col min="5147" max="5147" width="12.5" bestFit="1" customWidth="1"/>
    <col min="5148" max="5148" width="19" bestFit="1" customWidth="1"/>
    <col min="5149" max="5149" width="10.6640625" bestFit="1" customWidth="1"/>
    <col min="5150" max="5150" width="14.6640625" bestFit="1" customWidth="1"/>
    <col min="5151" max="5151" width="12.83203125" bestFit="1" customWidth="1"/>
    <col min="5152" max="5152" width="19.33203125" bestFit="1" customWidth="1"/>
    <col min="5153" max="5153" width="20.1640625" bestFit="1" customWidth="1"/>
    <col min="5154" max="5154" width="14" bestFit="1" customWidth="1"/>
    <col min="5155" max="5155" width="15.6640625" bestFit="1" customWidth="1"/>
    <col min="5156" max="5156" width="18.6640625" bestFit="1" customWidth="1"/>
    <col min="5157" max="5157" width="46" bestFit="1" customWidth="1"/>
    <col min="5158" max="5158" width="12.5" bestFit="1" customWidth="1"/>
    <col min="5159" max="5159" width="13.83203125" bestFit="1" customWidth="1"/>
    <col min="5160" max="5376" width="8.83203125" customWidth="1"/>
    <col min="5377" max="5377" width="36.5" bestFit="1" customWidth="1"/>
    <col min="5378" max="5378" width="7.5" bestFit="1" customWidth="1"/>
    <col min="5379" max="5379" width="7.6640625" bestFit="1" customWidth="1"/>
    <col min="5380" max="5380" width="9.5" bestFit="1" customWidth="1"/>
    <col min="5381" max="5381" width="4.33203125" bestFit="1" customWidth="1"/>
    <col min="5382" max="5382" width="4.5" bestFit="1" customWidth="1"/>
    <col min="5383" max="5383" width="20.6640625" bestFit="1" customWidth="1"/>
    <col min="5384" max="5384" width="5.5" customWidth="1"/>
    <col min="5385" max="5385" width="8.5" bestFit="1" customWidth="1"/>
    <col min="5386" max="5386" width="9.5" bestFit="1" customWidth="1"/>
    <col min="5387" max="5387" width="11.6640625" bestFit="1" customWidth="1"/>
    <col min="5388" max="5388" width="14.33203125" bestFit="1" customWidth="1"/>
    <col min="5389" max="5389" width="12.5" bestFit="1" customWidth="1"/>
    <col min="5390" max="5390" width="19" bestFit="1" customWidth="1"/>
    <col min="5391" max="5391" width="20.5" bestFit="1" customWidth="1"/>
    <col min="5392" max="5392" width="12.6640625" bestFit="1" customWidth="1"/>
    <col min="5393" max="5393" width="14.1640625" bestFit="1" customWidth="1"/>
    <col min="5394" max="5394" width="14.33203125" bestFit="1" customWidth="1"/>
    <col min="5395" max="5395" width="14" bestFit="1" customWidth="1"/>
    <col min="5396" max="5396" width="15" bestFit="1" customWidth="1"/>
    <col min="5397" max="5397" width="17" bestFit="1" customWidth="1"/>
    <col min="5398" max="5398" width="14.83203125" bestFit="1" customWidth="1"/>
    <col min="5399" max="5399" width="13" bestFit="1" customWidth="1"/>
    <col min="5400" max="5400" width="19.5" bestFit="1" customWidth="1"/>
    <col min="5401" max="5401" width="9.83203125" bestFit="1" customWidth="1"/>
    <col min="5402" max="5402" width="14.33203125" bestFit="1" customWidth="1"/>
    <col min="5403" max="5403" width="12.5" bestFit="1" customWidth="1"/>
    <col min="5404" max="5404" width="19" bestFit="1" customWidth="1"/>
    <col min="5405" max="5405" width="10.6640625" bestFit="1" customWidth="1"/>
    <col min="5406" max="5406" width="14.6640625" bestFit="1" customWidth="1"/>
    <col min="5407" max="5407" width="12.83203125" bestFit="1" customWidth="1"/>
    <col min="5408" max="5408" width="19.33203125" bestFit="1" customWidth="1"/>
    <col min="5409" max="5409" width="20.1640625" bestFit="1" customWidth="1"/>
    <col min="5410" max="5410" width="14" bestFit="1" customWidth="1"/>
    <col min="5411" max="5411" width="15.6640625" bestFit="1" customWidth="1"/>
    <col min="5412" max="5412" width="18.6640625" bestFit="1" customWidth="1"/>
    <col min="5413" max="5413" width="46" bestFit="1" customWidth="1"/>
    <col min="5414" max="5414" width="12.5" bestFit="1" customWidth="1"/>
    <col min="5415" max="5415" width="13.83203125" bestFit="1" customWidth="1"/>
    <col min="5416" max="5632" width="8.83203125" customWidth="1"/>
    <col min="5633" max="5633" width="36.5" bestFit="1" customWidth="1"/>
    <col min="5634" max="5634" width="7.5" bestFit="1" customWidth="1"/>
    <col min="5635" max="5635" width="7.6640625" bestFit="1" customWidth="1"/>
    <col min="5636" max="5636" width="9.5" bestFit="1" customWidth="1"/>
    <col min="5637" max="5637" width="4.33203125" bestFit="1" customWidth="1"/>
    <col min="5638" max="5638" width="4.5" bestFit="1" customWidth="1"/>
    <col min="5639" max="5639" width="20.6640625" bestFit="1" customWidth="1"/>
    <col min="5640" max="5640" width="5.5" customWidth="1"/>
    <col min="5641" max="5641" width="8.5" bestFit="1" customWidth="1"/>
    <col min="5642" max="5642" width="9.5" bestFit="1" customWidth="1"/>
    <col min="5643" max="5643" width="11.6640625" bestFit="1" customWidth="1"/>
    <col min="5644" max="5644" width="14.33203125" bestFit="1" customWidth="1"/>
    <col min="5645" max="5645" width="12.5" bestFit="1" customWidth="1"/>
    <col min="5646" max="5646" width="19" bestFit="1" customWidth="1"/>
    <col min="5647" max="5647" width="20.5" bestFit="1" customWidth="1"/>
    <col min="5648" max="5648" width="12.6640625" bestFit="1" customWidth="1"/>
    <col min="5649" max="5649" width="14.1640625" bestFit="1" customWidth="1"/>
    <col min="5650" max="5650" width="14.33203125" bestFit="1" customWidth="1"/>
    <col min="5651" max="5651" width="14" bestFit="1" customWidth="1"/>
    <col min="5652" max="5652" width="15" bestFit="1" customWidth="1"/>
    <col min="5653" max="5653" width="17" bestFit="1" customWidth="1"/>
    <col min="5654" max="5654" width="14.83203125" bestFit="1" customWidth="1"/>
    <col min="5655" max="5655" width="13" bestFit="1" customWidth="1"/>
    <col min="5656" max="5656" width="19.5" bestFit="1" customWidth="1"/>
    <col min="5657" max="5657" width="9.83203125" bestFit="1" customWidth="1"/>
    <col min="5658" max="5658" width="14.33203125" bestFit="1" customWidth="1"/>
    <col min="5659" max="5659" width="12.5" bestFit="1" customWidth="1"/>
    <col min="5660" max="5660" width="19" bestFit="1" customWidth="1"/>
    <col min="5661" max="5661" width="10.6640625" bestFit="1" customWidth="1"/>
    <col min="5662" max="5662" width="14.6640625" bestFit="1" customWidth="1"/>
    <col min="5663" max="5663" width="12.83203125" bestFit="1" customWidth="1"/>
    <col min="5664" max="5664" width="19.33203125" bestFit="1" customWidth="1"/>
    <col min="5665" max="5665" width="20.1640625" bestFit="1" customWidth="1"/>
    <col min="5666" max="5666" width="14" bestFit="1" customWidth="1"/>
    <col min="5667" max="5667" width="15.6640625" bestFit="1" customWidth="1"/>
    <col min="5668" max="5668" width="18.6640625" bestFit="1" customWidth="1"/>
    <col min="5669" max="5669" width="46" bestFit="1" customWidth="1"/>
    <col min="5670" max="5670" width="12.5" bestFit="1" customWidth="1"/>
    <col min="5671" max="5671" width="13.83203125" bestFit="1" customWidth="1"/>
    <col min="5672" max="5888" width="8.83203125" customWidth="1"/>
    <col min="5889" max="5889" width="36.5" bestFit="1" customWidth="1"/>
    <col min="5890" max="5890" width="7.5" bestFit="1" customWidth="1"/>
    <col min="5891" max="5891" width="7.6640625" bestFit="1" customWidth="1"/>
    <col min="5892" max="5892" width="9.5" bestFit="1" customWidth="1"/>
    <col min="5893" max="5893" width="4.33203125" bestFit="1" customWidth="1"/>
    <col min="5894" max="5894" width="4.5" bestFit="1" customWidth="1"/>
    <col min="5895" max="5895" width="20.6640625" bestFit="1" customWidth="1"/>
    <col min="5896" max="5896" width="5.5" customWidth="1"/>
    <col min="5897" max="5897" width="8.5" bestFit="1" customWidth="1"/>
    <col min="5898" max="5898" width="9.5" bestFit="1" customWidth="1"/>
    <col min="5899" max="5899" width="11.6640625" bestFit="1" customWidth="1"/>
    <col min="5900" max="5900" width="14.33203125" bestFit="1" customWidth="1"/>
    <col min="5901" max="5901" width="12.5" bestFit="1" customWidth="1"/>
    <col min="5902" max="5902" width="19" bestFit="1" customWidth="1"/>
    <col min="5903" max="5903" width="20.5" bestFit="1" customWidth="1"/>
    <col min="5904" max="5904" width="12.6640625" bestFit="1" customWidth="1"/>
    <col min="5905" max="5905" width="14.1640625" bestFit="1" customWidth="1"/>
    <col min="5906" max="5906" width="14.33203125" bestFit="1" customWidth="1"/>
    <col min="5907" max="5907" width="14" bestFit="1" customWidth="1"/>
    <col min="5908" max="5908" width="15" bestFit="1" customWidth="1"/>
    <col min="5909" max="5909" width="17" bestFit="1" customWidth="1"/>
    <col min="5910" max="5910" width="14.83203125" bestFit="1" customWidth="1"/>
    <col min="5911" max="5911" width="13" bestFit="1" customWidth="1"/>
    <col min="5912" max="5912" width="19.5" bestFit="1" customWidth="1"/>
    <col min="5913" max="5913" width="9.83203125" bestFit="1" customWidth="1"/>
    <col min="5914" max="5914" width="14.33203125" bestFit="1" customWidth="1"/>
    <col min="5915" max="5915" width="12.5" bestFit="1" customWidth="1"/>
    <col min="5916" max="5916" width="19" bestFit="1" customWidth="1"/>
    <col min="5917" max="5917" width="10.6640625" bestFit="1" customWidth="1"/>
    <col min="5918" max="5918" width="14.6640625" bestFit="1" customWidth="1"/>
    <col min="5919" max="5919" width="12.83203125" bestFit="1" customWidth="1"/>
    <col min="5920" max="5920" width="19.33203125" bestFit="1" customWidth="1"/>
    <col min="5921" max="5921" width="20.1640625" bestFit="1" customWidth="1"/>
    <col min="5922" max="5922" width="14" bestFit="1" customWidth="1"/>
    <col min="5923" max="5923" width="15.6640625" bestFit="1" customWidth="1"/>
    <col min="5924" max="5924" width="18.6640625" bestFit="1" customWidth="1"/>
    <col min="5925" max="5925" width="46" bestFit="1" customWidth="1"/>
    <col min="5926" max="5926" width="12.5" bestFit="1" customWidth="1"/>
    <col min="5927" max="5927" width="13.83203125" bestFit="1" customWidth="1"/>
    <col min="5928" max="6144" width="8.83203125" customWidth="1"/>
    <col min="6145" max="6145" width="36.5" bestFit="1" customWidth="1"/>
    <col min="6146" max="6146" width="7.5" bestFit="1" customWidth="1"/>
    <col min="6147" max="6147" width="7.6640625" bestFit="1" customWidth="1"/>
    <col min="6148" max="6148" width="9.5" bestFit="1" customWidth="1"/>
    <col min="6149" max="6149" width="4.33203125" bestFit="1" customWidth="1"/>
    <col min="6150" max="6150" width="4.5" bestFit="1" customWidth="1"/>
    <col min="6151" max="6151" width="20.6640625" bestFit="1" customWidth="1"/>
    <col min="6152" max="6152" width="5.5" customWidth="1"/>
    <col min="6153" max="6153" width="8.5" bestFit="1" customWidth="1"/>
    <col min="6154" max="6154" width="9.5" bestFit="1" customWidth="1"/>
    <col min="6155" max="6155" width="11.6640625" bestFit="1" customWidth="1"/>
    <col min="6156" max="6156" width="14.33203125" bestFit="1" customWidth="1"/>
    <col min="6157" max="6157" width="12.5" bestFit="1" customWidth="1"/>
    <col min="6158" max="6158" width="19" bestFit="1" customWidth="1"/>
    <col min="6159" max="6159" width="20.5" bestFit="1" customWidth="1"/>
    <col min="6160" max="6160" width="12.6640625" bestFit="1" customWidth="1"/>
    <col min="6161" max="6161" width="14.1640625" bestFit="1" customWidth="1"/>
    <col min="6162" max="6162" width="14.33203125" bestFit="1" customWidth="1"/>
    <col min="6163" max="6163" width="14" bestFit="1" customWidth="1"/>
    <col min="6164" max="6164" width="15" bestFit="1" customWidth="1"/>
    <col min="6165" max="6165" width="17" bestFit="1" customWidth="1"/>
    <col min="6166" max="6166" width="14.83203125" bestFit="1" customWidth="1"/>
    <col min="6167" max="6167" width="13" bestFit="1" customWidth="1"/>
    <col min="6168" max="6168" width="19.5" bestFit="1" customWidth="1"/>
    <col min="6169" max="6169" width="9.83203125" bestFit="1" customWidth="1"/>
    <col min="6170" max="6170" width="14.33203125" bestFit="1" customWidth="1"/>
    <col min="6171" max="6171" width="12.5" bestFit="1" customWidth="1"/>
    <col min="6172" max="6172" width="19" bestFit="1" customWidth="1"/>
    <col min="6173" max="6173" width="10.6640625" bestFit="1" customWidth="1"/>
    <col min="6174" max="6174" width="14.6640625" bestFit="1" customWidth="1"/>
    <col min="6175" max="6175" width="12.83203125" bestFit="1" customWidth="1"/>
    <col min="6176" max="6176" width="19.33203125" bestFit="1" customWidth="1"/>
    <col min="6177" max="6177" width="20.1640625" bestFit="1" customWidth="1"/>
    <col min="6178" max="6178" width="14" bestFit="1" customWidth="1"/>
    <col min="6179" max="6179" width="15.6640625" bestFit="1" customWidth="1"/>
    <col min="6180" max="6180" width="18.6640625" bestFit="1" customWidth="1"/>
    <col min="6181" max="6181" width="46" bestFit="1" customWidth="1"/>
    <col min="6182" max="6182" width="12.5" bestFit="1" customWidth="1"/>
    <col min="6183" max="6183" width="13.83203125" bestFit="1" customWidth="1"/>
    <col min="6184" max="6400" width="8.83203125" customWidth="1"/>
    <col min="6401" max="6401" width="36.5" bestFit="1" customWidth="1"/>
    <col min="6402" max="6402" width="7.5" bestFit="1" customWidth="1"/>
    <col min="6403" max="6403" width="7.6640625" bestFit="1" customWidth="1"/>
    <col min="6404" max="6404" width="9.5" bestFit="1" customWidth="1"/>
    <col min="6405" max="6405" width="4.33203125" bestFit="1" customWidth="1"/>
    <col min="6406" max="6406" width="4.5" bestFit="1" customWidth="1"/>
    <col min="6407" max="6407" width="20.6640625" bestFit="1" customWidth="1"/>
    <col min="6408" max="6408" width="5.5" customWidth="1"/>
    <col min="6409" max="6409" width="8.5" bestFit="1" customWidth="1"/>
    <col min="6410" max="6410" width="9.5" bestFit="1" customWidth="1"/>
    <col min="6411" max="6411" width="11.6640625" bestFit="1" customWidth="1"/>
    <col min="6412" max="6412" width="14.33203125" bestFit="1" customWidth="1"/>
    <col min="6413" max="6413" width="12.5" bestFit="1" customWidth="1"/>
    <col min="6414" max="6414" width="19" bestFit="1" customWidth="1"/>
    <col min="6415" max="6415" width="20.5" bestFit="1" customWidth="1"/>
    <col min="6416" max="6416" width="12.6640625" bestFit="1" customWidth="1"/>
    <col min="6417" max="6417" width="14.1640625" bestFit="1" customWidth="1"/>
    <col min="6418" max="6418" width="14.33203125" bestFit="1" customWidth="1"/>
    <col min="6419" max="6419" width="14" bestFit="1" customWidth="1"/>
    <col min="6420" max="6420" width="15" bestFit="1" customWidth="1"/>
    <col min="6421" max="6421" width="17" bestFit="1" customWidth="1"/>
    <col min="6422" max="6422" width="14.83203125" bestFit="1" customWidth="1"/>
    <col min="6423" max="6423" width="13" bestFit="1" customWidth="1"/>
    <col min="6424" max="6424" width="19.5" bestFit="1" customWidth="1"/>
    <col min="6425" max="6425" width="9.83203125" bestFit="1" customWidth="1"/>
    <col min="6426" max="6426" width="14.33203125" bestFit="1" customWidth="1"/>
    <col min="6427" max="6427" width="12.5" bestFit="1" customWidth="1"/>
    <col min="6428" max="6428" width="19" bestFit="1" customWidth="1"/>
    <col min="6429" max="6429" width="10.6640625" bestFit="1" customWidth="1"/>
    <col min="6430" max="6430" width="14.6640625" bestFit="1" customWidth="1"/>
    <col min="6431" max="6431" width="12.83203125" bestFit="1" customWidth="1"/>
    <col min="6432" max="6432" width="19.33203125" bestFit="1" customWidth="1"/>
    <col min="6433" max="6433" width="20.1640625" bestFit="1" customWidth="1"/>
    <col min="6434" max="6434" width="14" bestFit="1" customWidth="1"/>
    <col min="6435" max="6435" width="15.6640625" bestFit="1" customWidth="1"/>
    <col min="6436" max="6436" width="18.6640625" bestFit="1" customWidth="1"/>
    <col min="6437" max="6437" width="46" bestFit="1" customWidth="1"/>
    <col min="6438" max="6438" width="12.5" bestFit="1" customWidth="1"/>
    <col min="6439" max="6439" width="13.83203125" bestFit="1" customWidth="1"/>
    <col min="6440" max="6656" width="8.83203125" customWidth="1"/>
    <col min="6657" max="6657" width="36.5" bestFit="1" customWidth="1"/>
    <col min="6658" max="6658" width="7.5" bestFit="1" customWidth="1"/>
    <col min="6659" max="6659" width="7.6640625" bestFit="1" customWidth="1"/>
    <col min="6660" max="6660" width="9.5" bestFit="1" customWidth="1"/>
    <col min="6661" max="6661" width="4.33203125" bestFit="1" customWidth="1"/>
    <col min="6662" max="6662" width="4.5" bestFit="1" customWidth="1"/>
    <col min="6663" max="6663" width="20.6640625" bestFit="1" customWidth="1"/>
    <col min="6664" max="6664" width="5.5" customWidth="1"/>
    <col min="6665" max="6665" width="8.5" bestFit="1" customWidth="1"/>
    <col min="6666" max="6666" width="9.5" bestFit="1" customWidth="1"/>
    <col min="6667" max="6667" width="11.6640625" bestFit="1" customWidth="1"/>
    <col min="6668" max="6668" width="14.33203125" bestFit="1" customWidth="1"/>
    <col min="6669" max="6669" width="12.5" bestFit="1" customWidth="1"/>
    <col min="6670" max="6670" width="19" bestFit="1" customWidth="1"/>
    <col min="6671" max="6671" width="20.5" bestFit="1" customWidth="1"/>
    <col min="6672" max="6672" width="12.6640625" bestFit="1" customWidth="1"/>
    <col min="6673" max="6673" width="14.1640625" bestFit="1" customWidth="1"/>
    <col min="6674" max="6674" width="14.33203125" bestFit="1" customWidth="1"/>
    <col min="6675" max="6675" width="14" bestFit="1" customWidth="1"/>
    <col min="6676" max="6676" width="15" bestFit="1" customWidth="1"/>
    <col min="6677" max="6677" width="17" bestFit="1" customWidth="1"/>
    <col min="6678" max="6678" width="14.83203125" bestFit="1" customWidth="1"/>
    <col min="6679" max="6679" width="13" bestFit="1" customWidth="1"/>
    <col min="6680" max="6680" width="19.5" bestFit="1" customWidth="1"/>
    <col min="6681" max="6681" width="9.83203125" bestFit="1" customWidth="1"/>
    <col min="6682" max="6682" width="14.33203125" bestFit="1" customWidth="1"/>
    <col min="6683" max="6683" width="12.5" bestFit="1" customWidth="1"/>
    <col min="6684" max="6684" width="19" bestFit="1" customWidth="1"/>
    <col min="6685" max="6685" width="10.6640625" bestFit="1" customWidth="1"/>
    <col min="6686" max="6686" width="14.6640625" bestFit="1" customWidth="1"/>
    <col min="6687" max="6687" width="12.83203125" bestFit="1" customWidth="1"/>
    <col min="6688" max="6688" width="19.33203125" bestFit="1" customWidth="1"/>
    <col min="6689" max="6689" width="20.1640625" bestFit="1" customWidth="1"/>
    <col min="6690" max="6690" width="14" bestFit="1" customWidth="1"/>
    <col min="6691" max="6691" width="15.6640625" bestFit="1" customWidth="1"/>
    <col min="6692" max="6692" width="18.6640625" bestFit="1" customWidth="1"/>
    <col min="6693" max="6693" width="46" bestFit="1" customWidth="1"/>
    <col min="6694" max="6694" width="12.5" bestFit="1" customWidth="1"/>
    <col min="6695" max="6695" width="13.83203125" bestFit="1" customWidth="1"/>
    <col min="6696" max="6912" width="8.83203125" customWidth="1"/>
    <col min="6913" max="6913" width="36.5" bestFit="1" customWidth="1"/>
    <col min="6914" max="6914" width="7.5" bestFit="1" customWidth="1"/>
    <col min="6915" max="6915" width="7.6640625" bestFit="1" customWidth="1"/>
    <col min="6916" max="6916" width="9.5" bestFit="1" customWidth="1"/>
    <col min="6917" max="6917" width="4.33203125" bestFit="1" customWidth="1"/>
    <col min="6918" max="6918" width="4.5" bestFit="1" customWidth="1"/>
    <col min="6919" max="6919" width="20.6640625" bestFit="1" customWidth="1"/>
    <col min="6920" max="6920" width="5.5" customWidth="1"/>
    <col min="6921" max="6921" width="8.5" bestFit="1" customWidth="1"/>
    <col min="6922" max="6922" width="9.5" bestFit="1" customWidth="1"/>
    <col min="6923" max="6923" width="11.6640625" bestFit="1" customWidth="1"/>
    <col min="6924" max="6924" width="14.33203125" bestFit="1" customWidth="1"/>
    <col min="6925" max="6925" width="12.5" bestFit="1" customWidth="1"/>
    <col min="6926" max="6926" width="19" bestFit="1" customWidth="1"/>
    <col min="6927" max="6927" width="20.5" bestFit="1" customWidth="1"/>
    <col min="6928" max="6928" width="12.6640625" bestFit="1" customWidth="1"/>
    <col min="6929" max="6929" width="14.1640625" bestFit="1" customWidth="1"/>
    <col min="6930" max="6930" width="14.33203125" bestFit="1" customWidth="1"/>
    <col min="6931" max="6931" width="14" bestFit="1" customWidth="1"/>
    <col min="6932" max="6932" width="15" bestFit="1" customWidth="1"/>
    <col min="6933" max="6933" width="17" bestFit="1" customWidth="1"/>
    <col min="6934" max="6934" width="14.83203125" bestFit="1" customWidth="1"/>
    <col min="6935" max="6935" width="13" bestFit="1" customWidth="1"/>
    <col min="6936" max="6936" width="19.5" bestFit="1" customWidth="1"/>
    <col min="6937" max="6937" width="9.83203125" bestFit="1" customWidth="1"/>
    <col min="6938" max="6938" width="14.33203125" bestFit="1" customWidth="1"/>
    <col min="6939" max="6939" width="12.5" bestFit="1" customWidth="1"/>
    <col min="6940" max="6940" width="19" bestFit="1" customWidth="1"/>
    <col min="6941" max="6941" width="10.6640625" bestFit="1" customWidth="1"/>
    <col min="6942" max="6942" width="14.6640625" bestFit="1" customWidth="1"/>
    <col min="6943" max="6943" width="12.83203125" bestFit="1" customWidth="1"/>
    <col min="6944" max="6944" width="19.33203125" bestFit="1" customWidth="1"/>
    <col min="6945" max="6945" width="20.1640625" bestFit="1" customWidth="1"/>
    <col min="6946" max="6946" width="14" bestFit="1" customWidth="1"/>
    <col min="6947" max="6947" width="15.6640625" bestFit="1" customWidth="1"/>
    <col min="6948" max="6948" width="18.6640625" bestFit="1" customWidth="1"/>
    <col min="6949" max="6949" width="46" bestFit="1" customWidth="1"/>
    <col min="6950" max="6950" width="12.5" bestFit="1" customWidth="1"/>
    <col min="6951" max="6951" width="13.83203125" bestFit="1" customWidth="1"/>
    <col min="6952" max="7168" width="8.83203125" customWidth="1"/>
    <col min="7169" max="7169" width="36.5" bestFit="1" customWidth="1"/>
    <col min="7170" max="7170" width="7.5" bestFit="1" customWidth="1"/>
    <col min="7171" max="7171" width="7.6640625" bestFit="1" customWidth="1"/>
    <col min="7172" max="7172" width="9.5" bestFit="1" customWidth="1"/>
    <col min="7173" max="7173" width="4.33203125" bestFit="1" customWidth="1"/>
    <col min="7174" max="7174" width="4.5" bestFit="1" customWidth="1"/>
    <col min="7175" max="7175" width="20.6640625" bestFit="1" customWidth="1"/>
    <col min="7176" max="7176" width="5.5" customWidth="1"/>
    <col min="7177" max="7177" width="8.5" bestFit="1" customWidth="1"/>
    <col min="7178" max="7178" width="9.5" bestFit="1" customWidth="1"/>
    <col min="7179" max="7179" width="11.6640625" bestFit="1" customWidth="1"/>
    <col min="7180" max="7180" width="14.33203125" bestFit="1" customWidth="1"/>
    <col min="7181" max="7181" width="12.5" bestFit="1" customWidth="1"/>
    <col min="7182" max="7182" width="19" bestFit="1" customWidth="1"/>
    <col min="7183" max="7183" width="20.5" bestFit="1" customWidth="1"/>
    <col min="7184" max="7184" width="12.6640625" bestFit="1" customWidth="1"/>
    <col min="7185" max="7185" width="14.1640625" bestFit="1" customWidth="1"/>
    <col min="7186" max="7186" width="14.33203125" bestFit="1" customWidth="1"/>
    <col min="7187" max="7187" width="14" bestFit="1" customWidth="1"/>
    <col min="7188" max="7188" width="15" bestFit="1" customWidth="1"/>
    <col min="7189" max="7189" width="17" bestFit="1" customWidth="1"/>
    <col min="7190" max="7190" width="14.83203125" bestFit="1" customWidth="1"/>
    <col min="7191" max="7191" width="13" bestFit="1" customWidth="1"/>
    <col min="7192" max="7192" width="19.5" bestFit="1" customWidth="1"/>
    <col min="7193" max="7193" width="9.83203125" bestFit="1" customWidth="1"/>
    <col min="7194" max="7194" width="14.33203125" bestFit="1" customWidth="1"/>
    <col min="7195" max="7195" width="12.5" bestFit="1" customWidth="1"/>
    <col min="7196" max="7196" width="19" bestFit="1" customWidth="1"/>
    <col min="7197" max="7197" width="10.6640625" bestFit="1" customWidth="1"/>
    <col min="7198" max="7198" width="14.6640625" bestFit="1" customWidth="1"/>
    <col min="7199" max="7199" width="12.83203125" bestFit="1" customWidth="1"/>
    <col min="7200" max="7200" width="19.33203125" bestFit="1" customWidth="1"/>
    <col min="7201" max="7201" width="20.1640625" bestFit="1" customWidth="1"/>
    <col min="7202" max="7202" width="14" bestFit="1" customWidth="1"/>
    <col min="7203" max="7203" width="15.6640625" bestFit="1" customWidth="1"/>
    <col min="7204" max="7204" width="18.6640625" bestFit="1" customWidth="1"/>
    <col min="7205" max="7205" width="46" bestFit="1" customWidth="1"/>
    <col min="7206" max="7206" width="12.5" bestFit="1" customWidth="1"/>
    <col min="7207" max="7207" width="13.83203125" bestFit="1" customWidth="1"/>
    <col min="7208" max="7424" width="8.83203125" customWidth="1"/>
    <col min="7425" max="7425" width="36.5" bestFit="1" customWidth="1"/>
    <col min="7426" max="7426" width="7.5" bestFit="1" customWidth="1"/>
    <col min="7427" max="7427" width="7.6640625" bestFit="1" customWidth="1"/>
    <col min="7428" max="7428" width="9.5" bestFit="1" customWidth="1"/>
    <col min="7429" max="7429" width="4.33203125" bestFit="1" customWidth="1"/>
    <col min="7430" max="7430" width="4.5" bestFit="1" customWidth="1"/>
    <col min="7431" max="7431" width="20.6640625" bestFit="1" customWidth="1"/>
    <col min="7432" max="7432" width="5.5" customWidth="1"/>
    <col min="7433" max="7433" width="8.5" bestFit="1" customWidth="1"/>
    <col min="7434" max="7434" width="9.5" bestFit="1" customWidth="1"/>
    <col min="7435" max="7435" width="11.6640625" bestFit="1" customWidth="1"/>
    <col min="7436" max="7436" width="14.33203125" bestFit="1" customWidth="1"/>
    <col min="7437" max="7437" width="12.5" bestFit="1" customWidth="1"/>
    <col min="7438" max="7438" width="19" bestFit="1" customWidth="1"/>
    <col min="7439" max="7439" width="20.5" bestFit="1" customWidth="1"/>
    <col min="7440" max="7440" width="12.6640625" bestFit="1" customWidth="1"/>
    <col min="7441" max="7441" width="14.1640625" bestFit="1" customWidth="1"/>
    <col min="7442" max="7442" width="14.33203125" bestFit="1" customWidth="1"/>
    <col min="7443" max="7443" width="14" bestFit="1" customWidth="1"/>
    <col min="7444" max="7444" width="15" bestFit="1" customWidth="1"/>
    <col min="7445" max="7445" width="17" bestFit="1" customWidth="1"/>
    <col min="7446" max="7446" width="14.83203125" bestFit="1" customWidth="1"/>
    <col min="7447" max="7447" width="13" bestFit="1" customWidth="1"/>
    <col min="7448" max="7448" width="19.5" bestFit="1" customWidth="1"/>
    <col min="7449" max="7449" width="9.83203125" bestFit="1" customWidth="1"/>
    <col min="7450" max="7450" width="14.33203125" bestFit="1" customWidth="1"/>
    <col min="7451" max="7451" width="12.5" bestFit="1" customWidth="1"/>
    <col min="7452" max="7452" width="19" bestFit="1" customWidth="1"/>
    <col min="7453" max="7453" width="10.6640625" bestFit="1" customWidth="1"/>
    <col min="7454" max="7454" width="14.6640625" bestFit="1" customWidth="1"/>
    <col min="7455" max="7455" width="12.83203125" bestFit="1" customWidth="1"/>
    <col min="7456" max="7456" width="19.33203125" bestFit="1" customWidth="1"/>
    <col min="7457" max="7457" width="20.1640625" bestFit="1" customWidth="1"/>
    <col min="7458" max="7458" width="14" bestFit="1" customWidth="1"/>
    <col min="7459" max="7459" width="15.6640625" bestFit="1" customWidth="1"/>
    <col min="7460" max="7460" width="18.6640625" bestFit="1" customWidth="1"/>
    <col min="7461" max="7461" width="46" bestFit="1" customWidth="1"/>
    <col min="7462" max="7462" width="12.5" bestFit="1" customWidth="1"/>
    <col min="7463" max="7463" width="13.83203125" bestFit="1" customWidth="1"/>
    <col min="7464" max="7680" width="8.83203125" customWidth="1"/>
    <col min="7681" max="7681" width="36.5" bestFit="1" customWidth="1"/>
    <col min="7682" max="7682" width="7.5" bestFit="1" customWidth="1"/>
    <col min="7683" max="7683" width="7.6640625" bestFit="1" customWidth="1"/>
    <col min="7684" max="7684" width="9.5" bestFit="1" customWidth="1"/>
    <col min="7685" max="7685" width="4.33203125" bestFit="1" customWidth="1"/>
    <col min="7686" max="7686" width="4.5" bestFit="1" customWidth="1"/>
    <col min="7687" max="7687" width="20.6640625" bestFit="1" customWidth="1"/>
    <col min="7688" max="7688" width="5.5" customWidth="1"/>
    <col min="7689" max="7689" width="8.5" bestFit="1" customWidth="1"/>
    <col min="7690" max="7690" width="9.5" bestFit="1" customWidth="1"/>
    <col min="7691" max="7691" width="11.6640625" bestFit="1" customWidth="1"/>
    <col min="7692" max="7692" width="14.33203125" bestFit="1" customWidth="1"/>
    <col min="7693" max="7693" width="12.5" bestFit="1" customWidth="1"/>
    <col min="7694" max="7694" width="19" bestFit="1" customWidth="1"/>
    <col min="7695" max="7695" width="20.5" bestFit="1" customWidth="1"/>
    <col min="7696" max="7696" width="12.6640625" bestFit="1" customWidth="1"/>
    <col min="7697" max="7697" width="14.1640625" bestFit="1" customWidth="1"/>
    <col min="7698" max="7698" width="14.33203125" bestFit="1" customWidth="1"/>
    <col min="7699" max="7699" width="14" bestFit="1" customWidth="1"/>
    <col min="7700" max="7700" width="15" bestFit="1" customWidth="1"/>
    <col min="7701" max="7701" width="17" bestFit="1" customWidth="1"/>
    <col min="7702" max="7702" width="14.83203125" bestFit="1" customWidth="1"/>
    <col min="7703" max="7703" width="13" bestFit="1" customWidth="1"/>
    <col min="7704" max="7704" width="19.5" bestFit="1" customWidth="1"/>
    <col min="7705" max="7705" width="9.83203125" bestFit="1" customWidth="1"/>
    <col min="7706" max="7706" width="14.33203125" bestFit="1" customWidth="1"/>
    <col min="7707" max="7707" width="12.5" bestFit="1" customWidth="1"/>
    <col min="7708" max="7708" width="19" bestFit="1" customWidth="1"/>
    <col min="7709" max="7709" width="10.6640625" bestFit="1" customWidth="1"/>
    <col min="7710" max="7710" width="14.6640625" bestFit="1" customWidth="1"/>
    <col min="7711" max="7711" width="12.83203125" bestFit="1" customWidth="1"/>
    <col min="7712" max="7712" width="19.33203125" bestFit="1" customWidth="1"/>
    <col min="7713" max="7713" width="20.1640625" bestFit="1" customWidth="1"/>
    <col min="7714" max="7714" width="14" bestFit="1" customWidth="1"/>
    <col min="7715" max="7715" width="15.6640625" bestFit="1" customWidth="1"/>
    <col min="7716" max="7716" width="18.6640625" bestFit="1" customWidth="1"/>
    <col min="7717" max="7717" width="46" bestFit="1" customWidth="1"/>
    <col min="7718" max="7718" width="12.5" bestFit="1" customWidth="1"/>
    <col min="7719" max="7719" width="13.83203125" bestFit="1" customWidth="1"/>
    <col min="7720" max="7936" width="8.83203125" customWidth="1"/>
    <col min="7937" max="7937" width="36.5" bestFit="1" customWidth="1"/>
    <col min="7938" max="7938" width="7.5" bestFit="1" customWidth="1"/>
    <col min="7939" max="7939" width="7.6640625" bestFit="1" customWidth="1"/>
    <col min="7940" max="7940" width="9.5" bestFit="1" customWidth="1"/>
    <col min="7941" max="7941" width="4.33203125" bestFit="1" customWidth="1"/>
    <col min="7942" max="7942" width="4.5" bestFit="1" customWidth="1"/>
    <col min="7943" max="7943" width="20.6640625" bestFit="1" customWidth="1"/>
    <col min="7944" max="7944" width="5.5" customWidth="1"/>
    <col min="7945" max="7945" width="8.5" bestFit="1" customWidth="1"/>
    <col min="7946" max="7946" width="9.5" bestFit="1" customWidth="1"/>
    <col min="7947" max="7947" width="11.6640625" bestFit="1" customWidth="1"/>
    <col min="7948" max="7948" width="14.33203125" bestFit="1" customWidth="1"/>
    <col min="7949" max="7949" width="12.5" bestFit="1" customWidth="1"/>
    <col min="7950" max="7950" width="19" bestFit="1" customWidth="1"/>
    <col min="7951" max="7951" width="20.5" bestFit="1" customWidth="1"/>
    <col min="7952" max="7952" width="12.6640625" bestFit="1" customWidth="1"/>
    <col min="7953" max="7953" width="14.1640625" bestFit="1" customWidth="1"/>
    <col min="7954" max="7954" width="14.33203125" bestFit="1" customWidth="1"/>
    <col min="7955" max="7955" width="14" bestFit="1" customWidth="1"/>
    <col min="7956" max="7956" width="15" bestFit="1" customWidth="1"/>
    <col min="7957" max="7957" width="17" bestFit="1" customWidth="1"/>
    <col min="7958" max="7958" width="14.83203125" bestFit="1" customWidth="1"/>
    <col min="7959" max="7959" width="13" bestFit="1" customWidth="1"/>
    <col min="7960" max="7960" width="19.5" bestFit="1" customWidth="1"/>
    <col min="7961" max="7961" width="9.83203125" bestFit="1" customWidth="1"/>
    <col min="7962" max="7962" width="14.33203125" bestFit="1" customWidth="1"/>
    <col min="7963" max="7963" width="12.5" bestFit="1" customWidth="1"/>
    <col min="7964" max="7964" width="19" bestFit="1" customWidth="1"/>
    <col min="7965" max="7965" width="10.6640625" bestFit="1" customWidth="1"/>
    <col min="7966" max="7966" width="14.6640625" bestFit="1" customWidth="1"/>
    <col min="7967" max="7967" width="12.83203125" bestFit="1" customWidth="1"/>
    <col min="7968" max="7968" width="19.33203125" bestFit="1" customWidth="1"/>
    <col min="7969" max="7969" width="20.1640625" bestFit="1" customWidth="1"/>
    <col min="7970" max="7970" width="14" bestFit="1" customWidth="1"/>
    <col min="7971" max="7971" width="15.6640625" bestFit="1" customWidth="1"/>
    <col min="7972" max="7972" width="18.6640625" bestFit="1" customWidth="1"/>
    <col min="7973" max="7973" width="46" bestFit="1" customWidth="1"/>
    <col min="7974" max="7974" width="12.5" bestFit="1" customWidth="1"/>
    <col min="7975" max="7975" width="13.83203125" bestFit="1" customWidth="1"/>
    <col min="7976" max="8192" width="8.83203125" customWidth="1"/>
    <col min="8193" max="8193" width="36.5" bestFit="1" customWidth="1"/>
    <col min="8194" max="8194" width="7.5" bestFit="1" customWidth="1"/>
    <col min="8195" max="8195" width="7.6640625" bestFit="1" customWidth="1"/>
    <col min="8196" max="8196" width="9.5" bestFit="1" customWidth="1"/>
    <col min="8197" max="8197" width="4.33203125" bestFit="1" customWidth="1"/>
    <col min="8198" max="8198" width="4.5" bestFit="1" customWidth="1"/>
    <col min="8199" max="8199" width="20.6640625" bestFit="1" customWidth="1"/>
    <col min="8200" max="8200" width="5.5" customWidth="1"/>
    <col min="8201" max="8201" width="8.5" bestFit="1" customWidth="1"/>
    <col min="8202" max="8202" width="9.5" bestFit="1" customWidth="1"/>
    <col min="8203" max="8203" width="11.6640625" bestFit="1" customWidth="1"/>
    <col min="8204" max="8204" width="14.33203125" bestFit="1" customWidth="1"/>
    <col min="8205" max="8205" width="12.5" bestFit="1" customWidth="1"/>
    <col min="8206" max="8206" width="19" bestFit="1" customWidth="1"/>
    <col min="8207" max="8207" width="20.5" bestFit="1" customWidth="1"/>
    <col min="8208" max="8208" width="12.6640625" bestFit="1" customWidth="1"/>
    <col min="8209" max="8209" width="14.1640625" bestFit="1" customWidth="1"/>
    <col min="8210" max="8210" width="14.33203125" bestFit="1" customWidth="1"/>
    <col min="8211" max="8211" width="14" bestFit="1" customWidth="1"/>
    <col min="8212" max="8212" width="15" bestFit="1" customWidth="1"/>
    <col min="8213" max="8213" width="17" bestFit="1" customWidth="1"/>
    <col min="8214" max="8214" width="14.83203125" bestFit="1" customWidth="1"/>
    <col min="8215" max="8215" width="13" bestFit="1" customWidth="1"/>
    <col min="8216" max="8216" width="19.5" bestFit="1" customWidth="1"/>
    <col min="8217" max="8217" width="9.83203125" bestFit="1" customWidth="1"/>
    <col min="8218" max="8218" width="14.33203125" bestFit="1" customWidth="1"/>
    <col min="8219" max="8219" width="12.5" bestFit="1" customWidth="1"/>
    <col min="8220" max="8220" width="19" bestFit="1" customWidth="1"/>
    <col min="8221" max="8221" width="10.6640625" bestFit="1" customWidth="1"/>
    <col min="8222" max="8222" width="14.6640625" bestFit="1" customWidth="1"/>
    <col min="8223" max="8223" width="12.83203125" bestFit="1" customWidth="1"/>
    <col min="8224" max="8224" width="19.33203125" bestFit="1" customWidth="1"/>
    <col min="8225" max="8225" width="20.1640625" bestFit="1" customWidth="1"/>
    <col min="8226" max="8226" width="14" bestFit="1" customWidth="1"/>
    <col min="8227" max="8227" width="15.6640625" bestFit="1" customWidth="1"/>
    <col min="8228" max="8228" width="18.6640625" bestFit="1" customWidth="1"/>
    <col min="8229" max="8229" width="46" bestFit="1" customWidth="1"/>
    <col min="8230" max="8230" width="12.5" bestFit="1" customWidth="1"/>
    <col min="8231" max="8231" width="13.83203125" bestFit="1" customWidth="1"/>
    <col min="8232" max="8448" width="8.83203125" customWidth="1"/>
    <col min="8449" max="8449" width="36.5" bestFit="1" customWidth="1"/>
    <col min="8450" max="8450" width="7.5" bestFit="1" customWidth="1"/>
    <col min="8451" max="8451" width="7.6640625" bestFit="1" customWidth="1"/>
    <col min="8452" max="8452" width="9.5" bestFit="1" customWidth="1"/>
    <col min="8453" max="8453" width="4.33203125" bestFit="1" customWidth="1"/>
    <col min="8454" max="8454" width="4.5" bestFit="1" customWidth="1"/>
    <col min="8455" max="8455" width="20.6640625" bestFit="1" customWidth="1"/>
    <col min="8456" max="8456" width="5.5" customWidth="1"/>
    <col min="8457" max="8457" width="8.5" bestFit="1" customWidth="1"/>
    <col min="8458" max="8458" width="9.5" bestFit="1" customWidth="1"/>
    <col min="8459" max="8459" width="11.6640625" bestFit="1" customWidth="1"/>
    <col min="8460" max="8460" width="14.33203125" bestFit="1" customWidth="1"/>
    <col min="8461" max="8461" width="12.5" bestFit="1" customWidth="1"/>
    <col min="8462" max="8462" width="19" bestFit="1" customWidth="1"/>
    <col min="8463" max="8463" width="20.5" bestFit="1" customWidth="1"/>
    <col min="8464" max="8464" width="12.6640625" bestFit="1" customWidth="1"/>
    <col min="8465" max="8465" width="14.1640625" bestFit="1" customWidth="1"/>
    <col min="8466" max="8466" width="14.33203125" bestFit="1" customWidth="1"/>
    <col min="8467" max="8467" width="14" bestFit="1" customWidth="1"/>
    <col min="8468" max="8468" width="15" bestFit="1" customWidth="1"/>
    <col min="8469" max="8469" width="17" bestFit="1" customWidth="1"/>
    <col min="8470" max="8470" width="14.83203125" bestFit="1" customWidth="1"/>
    <col min="8471" max="8471" width="13" bestFit="1" customWidth="1"/>
    <col min="8472" max="8472" width="19.5" bestFit="1" customWidth="1"/>
    <col min="8473" max="8473" width="9.83203125" bestFit="1" customWidth="1"/>
    <col min="8474" max="8474" width="14.33203125" bestFit="1" customWidth="1"/>
    <col min="8475" max="8475" width="12.5" bestFit="1" customWidth="1"/>
    <col min="8476" max="8476" width="19" bestFit="1" customWidth="1"/>
    <col min="8477" max="8477" width="10.6640625" bestFit="1" customWidth="1"/>
    <col min="8478" max="8478" width="14.6640625" bestFit="1" customWidth="1"/>
    <col min="8479" max="8479" width="12.83203125" bestFit="1" customWidth="1"/>
    <col min="8480" max="8480" width="19.33203125" bestFit="1" customWidth="1"/>
    <col min="8481" max="8481" width="20.1640625" bestFit="1" customWidth="1"/>
    <col min="8482" max="8482" width="14" bestFit="1" customWidth="1"/>
    <col min="8483" max="8483" width="15.6640625" bestFit="1" customWidth="1"/>
    <col min="8484" max="8484" width="18.6640625" bestFit="1" customWidth="1"/>
    <col min="8485" max="8485" width="46" bestFit="1" customWidth="1"/>
    <col min="8486" max="8486" width="12.5" bestFit="1" customWidth="1"/>
    <col min="8487" max="8487" width="13.83203125" bestFit="1" customWidth="1"/>
    <col min="8488" max="8704" width="8.83203125" customWidth="1"/>
    <col min="8705" max="8705" width="36.5" bestFit="1" customWidth="1"/>
    <col min="8706" max="8706" width="7.5" bestFit="1" customWidth="1"/>
    <col min="8707" max="8707" width="7.6640625" bestFit="1" customWidth="1"/>
    <col min="8708" max="8708" width="9.5" bestFit="1" customWidth="1"/>
    <col min="8709" max="8709" width="4.33203125" bestFit="1" customWidth="1"/>
    <col min="8710" max="8710" width="4.5" bestFit="1" customWidth="1"/>
    <col min="8711" max="8711" width="20.6640625" bestFit="1" customWidth="1"/>
    <col min="8712" max="8712" width="5.5" customWidth="1"/>
    <col min="8713" max="8713" width="8.5" bestFit="1" customWidth="1"/>
    <col min="8714" max="8714" width="9.5" bestFit="1" customWidth="1"/>
    <col min="8715" max="8715" width="11.6640625" bestFit="1" customWidth="1"/>
    <col min="8716" max="8716" width="14.33203125" bestFit="1" customWidth="1"/>
    <col min="8717" max="8717" width="12.5" bestFit="1" customWidth="1"/>
    <col min="8718" max="8718" width="19" bestFit="1" customWidth="1"/>
    <col min="8719" max="8719" width="20.5" bestFit="1" customWidth="1"/>
    <col min="8720" max="8720" width="12.6640625" bestFit="1" customWidth="1"/>
    <col min="8721" max="8721" width="14.1640625" bestFit="1" customWidth="1"/>
    <col min="8722" max="8722" width="14.33203125" bestFit="1" customWidth="1"/>
    <col min="8723" max="8723" width="14" bestFit="1" customWidth="1"/>
    <col min="8724" max="8724" width="15" bestFit="1" customWidth="1"/>
    <col min="8725" max="8725" width="17" bestFit="1" customWidth="1"/>
    <col min="8726" max="8726" width="14.83203125" bestFit="1" customWidth="1"/>
    <col min="8727" max="8727" width="13" bestFit="1" customWidth="1"/>
    <col min="8728" max="8728" width="19.5" bestFit="1" customWidth="1"/>
    <col min="8729" max="8729" width="9.83203125" bestFit="1" customWidth="1"/>
    <col min="8730" max="8730" width="14.33203125" bestFit="1" customWidth="1"/>
    <col min="8731" max="8731" width="12.5" bestFit="1" customWidth="1"/>
    <col min="8732" max="8732" width="19" bestFit="1" customWidth="1"/>
    <col min="8733" max="8733" width="10.6640625" bestFit="1" customWidth="1"/>
    <col min="8734" max="8734" width="14.6640625" bestFit="1" customWidth="1"/>
    <col min="8735" max="8735" width="12.83203125" bestFit="1" customWidth="1"/>
    <col min="8736" max="8736" width="19.33203125" bestFit="1" customWidth="1"/>
    <col min="8737" max="8737" width="20.1640625" bestFit="1" customWidth="1"/>
    <col min="8738" max="8738" width="14" bestFit="1" customWidth="1"/>
    <col min="8739" max="8739" width="15.6640625" bestFit="1" customWidth="1"/>
    <col min="8740" max="8740" width="18.6640625" bestFit="1" customWidth="1"/>
    <col min="8741" max="8741" width="46" bestFit="1" customWidth="1"/>
    <col min="8742" max="8742" width="12.5" bestFit="1" customWidth="1"/>
    <col min="8743" max="8743" width="13.83203125" bestFit="1" customWidth="1"/>
    <col min="8744" max="8960" width="8.83203125" customWidth="1"/>
    <col min="8961" max="8961" width="36.5" bestFit="1" customWidth="1"/>
    <col min="8962" max="8962" width="7.5" bestFit="1" customWidth="1"/>
    <col min="8963" max="8963" width="7.6640625" bestFit="1" customWidth="1"/>
    <col min="8964" max="8964" width="9.5" bestFit="1" customWidth="1"/>
    <col min="8965" max="8965" width="4.33203125" bestFit="1" customWidth="1"/>
    <col min="8966" max="8966" width="4.5" bestFit="1" customWidth="1"/>
    <col min="8967" max="8967" width="20.6640625" bestFit="1" customWidth="1"/>
    <col min="8968" max="8968" width="5.5" customWidth="1"/>
    <col min="8969" max="8969" width="8.5" bestFit="1" customWidth="1"/>
    <col min="8970" max="8970" width="9.5" bestFit="1" customWidth="1"/>
    <col min="8971" max="8971" width="11.6640625" bestFit="1" customWidth="1"/>
    <col min="8972" max="8972" width="14.33203125" bestFit="1" customWidth="1"/>
    <col min="8973" max="8973" width="12.5" bestFit="1" customWidth="1"/>
    <col min="8974" max="8974" width="19" bestFit="1" customWidth="1"/>
    <col min="8975" max="8975" width="20.5" bestFit="1" customWidth="1"/>
    <col min="8976" max="8976" width="12.6640625" bestFit="1" customWidth="1"/>
    <col min="8977" max="8977" width="14.1640625" bestFit="1" customWidth="1"/>
    <col min="8978" max="8978" width="14.33203125" bestFit="1" customWidth="1"/>
    <col min="8979" max="8979" width="14" bestFit="1" customWidth="1"/>
    <col min="8980" max="8980" width="15" bestFit="1" customWidth="1"/>
    <col min="8981" max="8981" width="17" bestFit="1" customWidth="1"/>
    <col min="8982" max="8982" width="14.83203125" bestFit="1" customWidth="1"/>
    <col min="8983" max="8983" width="13" bestFit="1" customWidth="1"/>
    <col min="8984" max="8984" width="19.5" bestFit="1" customWidth="1"/>
    <col min="8985" max="8985" width="9.83203125" bestFit="1" customWidth="1"/>
    <col min="8986" max="8986" width="14.33203125" bestFit="1" customWidth="1"/>
    <col min="8987" max="8987" width="12.5" bestFit="1" customWidth="1"/>
    <col min="8988" max="8988" width="19" bestFit="1" customWidth="1"/>
    <col min="8989" max="8989" width="10.6640625" bestFit="1" customWidth="1"/>
    <col min="8990" max="8990" width="14.6640625" bestFit="1" customWidth="1"/>
    <col min="8991" max="8991" width="12.83203125" bestFit="1" customWidth="1"/>
    <col min="8992" max="8992" width="19.33203125" bestFit="1" customWidth="1"/>
    <col min="8993" max="8993" width="20.1640625" bestFit="1" customWidth="1"/>
    <col min="8994" max="8994" width="14" bestFit="1" customWidth="1"/>
    <col min="8995" max="8995" width="15.6640625" bestFit="1" customWidth="1"/>
    <col min="8996" max="8996" width="18.6640625" bestFit="1" customWidth="1"/>
    <col min="8997" max="8997" width="46" bestFit="1" customWidth="1"/>
    <col min="8998" max="8998" width="12.5" bestFit="1" customWidth="1"/>
    <col min="8999" max="8999" width="13.83203125" bestFit="1" customWidth="1"/>
    <col min="9000" max="9216" width="8.83203125" customWidth="1"/>
    <col min="9217" max="9217" width="36.5" bestFit="1" customWidth="1"/>
    <col min="9218" max="9218" width="7.5" bestFit="1" customWidth="1"/>
    <col min="9219" max="9219" width="7.6640625" bestFit="1" customWidth="1"/>
    <col min="9220" max="9220" width="9.5" bestFit="1" customWidth="1"/>
    <col min="9221" max="9221" width="4.33203125" bestFit="1" customWidth="1"/>
    <col min="9222" max="9222" width="4.5" bestFit="1" customWidth="1"/>
    <col min="9223" max="9223" width="20.6640625" bestFit="1" customWidth="1"/>
    <col min="9224" max="9224" width="5.5" customWidth="1"/>
    <col min="9225" max="9225" width="8.5" bestFit="1" customWidth="1"/>
    <col min="9226" max="9226" width="9.5" bestFit="1" customWidth="1"/>
    <col min="9227" max="9227" width="11.6640625" bestFit="1" customWidth="1"/>
    <col min="9228" max="9228" width="14.33203125" bestFit="1" customWidth="1"/>
    <col min="9229" max="9229" width="12.5" bestFit="1" customWidth="1"/>
    <col min="9230" max="9230" width="19" bestFit="1" customWidth="1"/>
    <col min="9231" max="9231" width="20.5" bestFit="1" customWidth="1"/>
    <col min="9232" max="9232" width="12.6640625" bestFit="1" customWidth="1"/>
    <col min="9233" max="9233" width="14.1640625" bestFit="1" customWidth="1"/>
    <col min="9234" max="9234" width="14.33203125" bestFit="1" customWidth="1"/>
    <col min="9235" max="9235" width="14" bestFit="1" customWidth="1"/>
    <col min="9236" max="9236" width="15" bestFit="1" customWidth="1"/>
    <col min="9237" max="9237" width="17" bestFit="1" customWidth="1"/>
    <col min="9238" max="9238" width="14.83203125" bestFit="1" customWidth="1"/>
    <col min="9239" max="9239" width="13" bestFit="1" customWidth="1"/>
    <col min="9240" max="9240" width="19.5" bestFit="1" customWidth="1"/>
    <col min="9241" max="9241" width="9.83203125" bestFit="1" customWidth="1"/>
    <col min="9242" max="9242" width="14.33203125" bestFit="1" customWidth="1"/>
    <col min="9243" max="9243" width="12.5" bestFit="1" customWidth="1"/>
    <col min="9244" max="9244" width="19" bestFit="1" customWidth="1"/>
    <col min="9245" max="9245" width="10.6640625" bestFit="1" customWidth="1"/>
    <col min="9246" max="9246" width="14.6640625" bestFit="1" customWidth="1"/>
    <col min="9247" max="9247" width="12.83203125" bestFit="1" customWidth="1"/>
    <col min="9248" max="9248" width="19.33203125" bestFit="1" customWidth="1"/>
    <col min="9249" max="9249" width="20.1640625" bestFit="1" customWidth="1"/>
    <col min="9250" max="9250" width="14" bestFit="1" customWidth="1"/>
    <col min="9251" max="9251" width="15.6640625" bestFit="1" customWidth="1"/>
    <col min="9252" max="9252" width="18.6640625" bestFit="1" customWidth="1"/>
    <col min="9253" max="9253" width="46" bestFit="1" customWidth="1"/>
    <col min="9254" max="9254" width="12.5" bestFit="1" customWidth="1"/>
    <col min="9255" max="9255" width="13.83203125" bestFit="1" customWidth="1"/>
    <col min="9256" max="9472" width="8.83203125" customWidth="1"/>
    <col min="9473" max="9473" width="36.5" bestFit="1" customWidth="1"/>
    <col min="9474" max="9474" width="7.5" bestFit="1" customWidth="1"/>
    <col min="9475" max="9475" width="7.6640625" bestFit="1" customWidth="1"/>
    <col min="9476" max="9476" width="9.5" bestFit="1" customWidth="1"/>
    <col min="9477" max="9477" width="4.33203125" bestFit="1" customWidth="1"/>
    <col min="9478" max="9478" width="4.5" bestFit="1" customWidth="1"/>
    <col min="9479" max="9479" width="20.6640625" bestFit="1" customWidth="1"/>
    <col min="9480" max="9480" width="5.5" customWidth="1"/>
    <col min="9481" max="9481" width="8.5" bestFit="1" customWidth="1"/>
    <col min="9482" max="9482" width="9.5" bestFit="1" customWidth="1"/>
    <col min="9483" max="9483" width="11.6640625" bestFit="1" customWidth="1"/>
    <col min="9484" max="9484" width="14.33203125" bestFit="1" customWidth="1"/>
    <col min="9485" max="9485" width="12.5" bestFit="1" customWidth="1"/>
    <col min="9486" max="9486" width="19" bestFit="1" customWidth="1"/>
    <col min="9487" max="9487" width="20.5" bestFit="1" customWidth="1"/>
    <col min="9488" max="9488" width="12.6640625" bestFit="1" customWidth="1"/>
    <col min="9489" max="9489" width="14.1640625" bestFit="1" customWidth="1"/>
    <col min="9490" max="9490" width="14.33203125" bestFit="1" customWidth="1"/>
    <col min="9491" max="9491" width="14" bestFit="1" customWidth="1"/>
    <col min="9492" max="9492" width="15" bestFit="1" customWidth="1"/>
    <col min="9493" max="9493" width="17" bestFit="1" customWidth="1"/>
    <col min="9494" max="9494" width="14.83203125" bestFit="1" customWidth="1"/>
    <col min="9495" max="9495" width="13" bestFit="1" customWidth="1"/>
    <col min="9496" max="9496" width="19.5" bestFit="1" customWidth="1"/>
    <col min="9497" max="9497" width="9.83203125" bestFit="1" customWidth="1"/>
    <col min="9498" max="9498" width="14.33203125" bestFit="1" customWidth="1"/>
    <col min="9499" max="9499" width="12.5" bestFit="1" customWidth="1"/>
    <col min="9500" max="9500" width="19" bestFit="1" customWidth="1"/>
    <col min="9501" max="9501" width="10.6640625" bestFit="1" customWidth="1"/>
    <col min="9502" max="9502" width="14.6640625" bestFit="1" customWidth="1"/>
    <col min="9503" max="9503" width="12.83203125" bestFit="1" customWidth="1"/>
    <col min="9504" max="9504" width="19.33203125" bestFit="1" customWidth="1"/>
    <col min="9505" max="9505" width="20.1640625" bestFit="1" customWidth="1"/>
    <col min="9506" max="9506" width="14" bestFit="1" customWidth="1"/>
    <col min="9507" max="9507" width="15.6640625" bestFit="1" customWidth="1"/>
    <col min="9508" max="9508" width="18.6640625" bestFit="1" customWidth="1"/>
    <col min="9509" max="9509" width="46" bestFit="1" customWidth="1"/>
    <col min="9510" max="9510" width="12.5" bestFit="1" customWidth="1"/>
    <col min="9511" max="9511" width="13.83203125" bestFit="1" customWidth="1"/>
    <col min="9512" max="9728" width="8.83203125" customWidth="1"/>
    <col min="9729" max="9729" width="36.5" bestFit="1" customWidth="1"/>
    <col min="9730" max="9730" width="7.5" bestFit="1" customWidth="1"/>
    <col min="9731" max="9731" width="7.6640625" bestFit="1" customWidth="1"/>
    <col min="9732" max="9732" width="9.5" bestFit="1" customWidth="1"/>
    <col min="9733" max="9733" width="4.33203125" bestFit="1" customWidth="1"/>
    <col min="9734" max="9734" width="4.5" bestFit="1" customWidth="1"/>
    <col min="9735" max="9735" width="20.6640625" bestFit="1" customWidth="1"/>
    <col min="9736" max="9736" width="5.5" customWidth="1"/>
    <col min="9737" max="9737" width="8.5" bestFit="1" customWidth="1"/>
    <col min="9738" max="9738" width="9.5" bestFit="1" customWidth="1"/>
    <col min="9739" max="9739" width="11.6640625" bestFit="1" customWidth="1"/>
    <col min="9740" max="9740" width="14.33203125" bestFit="1" customWidth="1"/>
    <col min="9741" max="9741" width="12.5" bestFit="1" customWidth="1"/>
    <col min="9742" max="9742" width="19" bestFit="1" customWidth="1"/>
    <col min="9743" max="9743" width="20.5" bestFit="1" customWidth="1"/>
    <col min="9744" max="9744" width="12.6640625" bestFit="1" customWidth="1"/>
    <col min="9745" max="9745" width="14.1640625" bestFit="1" customWidth="1"/>
    <col min="9746" max="9746" width="14.33203125" bestFit="1" customWidth="1"/>
    <col min="9747" max="9747" width="14" bestFit="1" customWidth="1"/>
    <col min="9748" max="9748" width="15" bestFit="1" customWidth="1"/>
    <col min="9749" max="9749" width="17" bestFit="1" customWidth="1"/>
    <col min="9750" max="9750" width="14.83203125" bestFit="1" customWidth="1"/>
    <col min="9751" max="9751" width="13" bestFit="1" customWidth="1"/>
    <col min="9752" max="9752" width="19.5" bestFit="1" customWidth="1"/>
    <col min="9753" max="9753" width="9.83203125" bestFit="1" customWidth="1"/>
    <col min="9754" max="9754" width="14.33203125" bestFit="1" customWidth="1"/>
    <col min="9755" max="9755" width="12.5" bestFit="1" customWidth="1"/>
    <col min="9756" max="9756" width="19" bestFit="1" customWidth="1"/>
    <col min="9757" max="9757" width="10.6640625" bestFit="1" customWidth="1"/>
    <col min="9758" max="9758" width="14.6640625" bestFit="1" customWidth="1"/>
    <col min="9759" max="9759" width="12.83203125" bestFit="1" customWidth="1"/>
    <col min="9760" max="9760" width="19.33203125" bestFit="1" customWidth="1"/>
    <col min="9761" max="9761" width="20.1640625" bestFit="1" customWidth="1"/>
    <col min="9762" max="9762" width="14" bestFit="1" customWidth="1"/>
    <col min="9763" max="9763" width="15.6640625" bestFit="1" customWidth="1"/>
    <col min="9764" max="9764" width="18.6640625" bestFit="1" customWidth="1"/>
    <col min="9765" max="9765" width="46" bestFit="1" customWidth="1"/>
    <col min="9766" max="9766" width="12.5" bestFit="1" customWidth="1"/>
    <col min="9767" max="9767" width="13.83203125" bestFit="1" customWidth="1"/>
    <col min="9768" max="9984" width="8.83203125" customWidth="1"/>
    <col min="9985" max="9985" width="36.5" bestFit="1" customWidth="1"/>
    <col min="9986" max="9986" width="7.5" bestFit="1" customWidth="1"/>
    <col min="9987" max="9987" width="7.6640625" bestFit="1" customWidth="1"/>
    <col min="9988" max="9988" width="9.5" bestFit="1" customWidth="1"/>
    <col min="9989" max="9989" width="4.33203125" bestFit="1" customWidth="1"/>
    <col min="9990" max="9990" width="4.5" bestFit="1" customWidth="1"/>
    <col min="9991" max="9991" width="20.6640625" bestFit="1" customWidth="1"/>
    <col min="9992" max="9992" width="5.5" customWidth="1"/>
    <col min="9993" max="9993" width="8.5" bestFit="1" customWidth="1"/>
    <col min="9994" max="9994" width="9.5" bestFit="1" customWidth="1"/>
    <col min="9995" max="9995" width="11.6640625" bestFit="1" customWidth="1"/>
    <col min="9996" max="9996" width="14.33203125" bestFit="1" customWidth="1"/>
    <col min="9997" max="9997" width="12.5" bestFit="1" customWidth="1"/>
    <col min="9998" max="9998" width="19" bestFit="1" customWidth="1"/>
    <col min="9999" max="9999" width="20.5" bestFit="1" customWidth="1"/>
    <col min="10000" max="10000" width="12.6640625" bestFit="1" customWidth="1"/>
    <col min="10001" max="10001" width="14.1640625" bestFit="1" customWidth="1"/>
    <col min="10002" max="10002" width="14.33203125" bestFit="1" customWidth="1"/>
    <col min="10003" max="10003" width="14" bestFit="1" customWidth="1"/>
    <col min="10004" max="10004" width="15" bestFit="1" customWidth="1"/>
    <col min="10005" max="10005" width="17" bestFit="1" customWidth="1"/>
    <col min="10006" max="10006" width="14.83203125" bestFit="1" customWidth="1"/>
    <col min="10007" max="10007" width="13" bestFit="1" customWidth="1"/>
    <col min="10008" max="10008" width="19.5" bestFit="1" customWidth="1"/>
    <col min="10009" max="10009" width="9.83203125" bestFit="1" customWidth="1"/>
    <col min="10010" max="10010" width="14.33203125" bestFit="1" customWidth="1"/>
    <col min="10011" max="10011" width="12.5" bestFit="1" customWidth="1"/>
    <col min="10012" max="10012" width="19" bestFit="1" customWidth="1"/>
    <col min="10013" max="10013" width="10.6640625" bestFit="1" customWidth="1"/>
    <col min="10014" max="10014" width="14.6640625" bestFit="1" customWidth="1"/>
    <col min="10015" max="10015" width="12.83203125" bestFit="1" customWidth="1"/>
    <col min="10016" max="10016" width="19.33203125" bestFit="1" customWidth="1"/>
    <col min="10017" max="10017" width="20.1640625" bestFit="1" customWidth="1"/>
    <col min="10018" max="10018" width="14" bestFit="1" customWidth="1"/>
    <col min="10019" max="10019" width="15.6640625" bestFit="1" customWidth="1"/>
    <col min="10020" max="10020" width="18.6640625" bestFit="1" customWidth="1"/>
    <col min="10021" max="10021" width="46" bestFit="1" customWidth="1"/>
    <col min="10022" max="10022" width="12.5" bestFit="1" customWidth="1"/>
    <col min="10023" max="10023" width="13.83203125" bestFit="1" customWidth="1"/>
    <col min="10024" max="10240" width="8.83203125" customWidth="1"/>
    <col min="10241" max="10241" width="36.5" bestFit="1" customWidth="1"/>
    <col min="10242" max="10242" width="7.5" bestFit="1" customWidth="1"/>
    <col min="10243" max="10243" width="7.6640625" bestFit="1" customWidth="1"/>
    <col min="10244" max="10244" width="9.5" bestFit="1" customWidth="1"/>
    <col min="10245" max="10245" width="4.33203125" bestFit="1" customWidth="1"/>
    <col min="10246" max="10246" width="4.5" bestFit="1" customWidth="1"/>
    <col min="10247" max="10247" width="20.6640625" bestFit="1" customWidth="1"/>
    <col min="10248" max="10248" width="5.5" customWidth="1"/>
    <col min="10249" max="10249" width="8.5" bestFit="1" customWidth="1"/>
    <col min="10250" max="10250" width="9.5" bestFit="1" customWidth="1"/>
    <col min="10251" max="10251" width="11.6640625" bestFit="1" customWidth="1"/>
    <col min="10252" max="10252" width="14.33203125" bestFit="1" customWidth="1"/>
    <col min="10253" max="10253" width="12.5" bestFit="1" customWidth="1"/>
    <col min="10254" max="10254" width="19" bestFit="1" customWidth="1"/>
    <col min="10255" max="10255" width="20.5" bestFit="1" customWidth="1"/>
    <col min="10256" max="10256" width="12.6640625" bestFit="1" customWidth="1"/>
    <col min="10257" max="10257" width="14.1640625" bestFit="1" customWidth="1"/>
    <col min="10258" max="10258" width="14.33203125" bestFit="1" customWidth="1"/>
    <col min="10259" max="10259" width="14" bestFit="1" customWidth="1"/>
    <col min="10260" max="10260" width="15" bestFit="1" customWidth="1"/>
    <col min="10261" max="10261" width="17" bestFit="1" customWidth="1"/>
    <col min="10262" max="10262" width="14.83203125" bestFit="1" customWidth="1"/>
    <col min="10263" max="10263" width="13" bestFit="1" customWidth="1"/>
    <col min="10264" max="10264" width="19.5" bestFit="1" customWidth="1"/>
    <col min="10265" max="10265" width="9.83203125" bestFit="1" customWidth="1"/>
    <col min="10266" max="10266" width="14.33203125" bestFit="1" customWidth="1"/>
    <col min="10267" max="10267" width="12.5" bestFit="1" customWidth="1"/>
    <col min="10268" max="10268" width="19" bestFit="1" customWidth="1"/>
    <col min="10269" max="10269" width="10.6640625" bestFit="1" customWidth="1"/>
    <col min="10270" max="10270" width="14.6640625" bestFit="1" customWidth="1"/>
    <col min="10271" max="10271" width="12.83203125" bestFit="1" customWidth="1"/>
    <col min="10272" max="10272" width="19.33203125" bestFit="1" customWidth="1"/>
    <col min="10273" max="10273" width="20.1640625" bestFit="1" customWidth="1"/>
    <col min="10274" max="10274" width="14" bestFit="1" customWidth="1"/>
    <col min="10275" max="10275" width="15.6640625" bestFit="1" customWidth="1"/>
    <col min="10276" max="10276" width="18.6640625" bestFit="1" customWidth="1"/>
    <col min="10277" max="10277" width="46" bestFit="1" customWidth="1"/>
    <col min="10278" max="10278" width="12.5" bestFit="1" customWidth="1"/>
    <col min="10279" max="10279" width="13.83203125" bestFit="1" customWidth="1"/>
    <col min="10280" max="10496" width="8.83203125" customWidth="1"/>
    <col min="10497" max="10497" width="36.5" bestFit="1" customWidth="1"/>
    <col min="10498" max="10498" width="7.5" bestFit="1" customWidth="1"/>
    <col min="10499" max="10499" width="7.6640625" bestFit="1" customWidth="1"/>
    <col min="10500" max="10500" width="9.5" bestFit="1" customWidth="1"/>
    <col min="10501" max="10501" width="4.33203125" bestFit="1" customWidth="1"/>
    <col min="10502" max="10502" width="4.5" bestFit="1" customWidth="1"/>
    <col min="10503" max="10503" width="20.6640625" bestFit="1" customWidth="1"/>
    <col min="10504" max="10504" width="5.5" customWidth="1"/>
    <col min="10505" max="10505" width="8.5" bestFit="1" customWidth="1"/>
    <col min="10506" max="10506" width="9.5" bestFit="1" customWidth="1"/>
    <col min="10507" max="10507" width="11.6640625" bestFit="1" customWidth="1"/>
    <col min="10508" max="10508" width="14.33203125" bestFit="1" customWidth="1"/>
    <col min="10509" max="10509" width="12.5" bestFit="1" customWidth="1"/>
    <col min="10510" max="10510" width="19" bestFit="1" customWidth="1"/>
    <col min="10511" max="10511" width="20.5" bestFit="1" customWidth="1"/>
    <col min="10512" max="10512" width="12.6640625" bestFit="1" customWidth="1"/>
    <col min="10513" max="10513" width="14.1640625" bestFit="1" customWidth="1"/>
    <col min="10514" max="10514" width="14.33203125" bestFit="1" customWidth="1"/>
    <col min="10515" max="10515" width="14" bestFit="1" customWidth="1"/>
    <col min="10516" max="10516" width="15" bestFit="1" customWidth="1"/>
    <col min="10517" max="10517" width="17" bestFit="1" customWidth="1"/>
    <col min="10518" max="10518" width="14.83203125" bestFit="1" customWidth="1"/>
    <col min="10519" max="10519" width="13" bestFit="1" customWidth="1"/>
    <col min="10520" max="10520" width="19.5" bestFit="1" customWidth="1"/>
    <col min="10521" max="10521" width="9.83203125" bestFit="1" customWidth="1"/>
    <col min="10522" max="10522" width="14.33203125" bestFit="1" customWidth="1"/>
    <col min="10523" max="10523" width="12.5" bestFit="1" customWidth="1"/>
    <col min="10524" max="10524" width="19" bestFit="1" customWidth="1"/>
    <col min="10525" max="10525" width="10.6640625" bestFit="1" customWidth="1"/>
    <col min="10526" max="10526" width="14.6640625" bestFit="1" customWidth="1"/>
    <col min="10527" max="10527" width="12.83203125" bestFit="1" customWidth="1"/>
    <col min="10528" max="10528" width="19.33203125" bestFit="1" customWidth="1"/>
    <col min="10529" max="10529" width="20.1640625" bestFit="1" customWidth="1"/>
    <col min="10530" max="10530" width="14" bestFit="1" customWidth="1"/>
    <col min="10531" max="10531" width="15.6640625" bestFit="1" customWidth="1"/>
    <col min="10532" max="10532" width="18.6640625" bestFit="1" customWidth="1"/>
    <col min="10533" max="10533" width="46" bestFit="1" customWidth="1"/>
    <col min="10534" max="10534" width="12.5" bestFit="1" customWidth="1"/>
    <col min="10535" max="10535" width="13.83203125" bestFit="1" customWidth="1"/>
    <col min="10536" max="10752" width="8.83203125" customWidth="1"/>
    <col min="10753" max="10753" width="36.5" bestFit="1" customWidth="1"/>
    <col min="10754" max="10754" width="7.5" bestFit="1" customWidth="1"/>
    <col min="10755" max="10755" width="7.6640625" bestFit="1" customWidth="1"/>
    <col min="10756" max="10756" width="9.5" bestFit="1" customWidth="1"/>
    <col min="10757" max="10757" width="4.33203125" bestFit="1" customWidth="1"/>
    <col min="10758" max="10758" width="4.5" bestFit="1" customWidth="1"/>
    <col min="10759" max="10759" width="20.6640625" bestFit="1" customWidth="1"/>
    <col min="10760" max="10760" width="5.5" customWidth="1"/>
    <col min="10761" max="10761" width="8.5" bestFit="1" customWidth="1"/>
    <col min="10762" max="10762" width="9.5" bestFit="1" customWidth="1"/>
    <col min="10763" max="10763" width="11.6640625" bestFit="1" customWidth="1"/>
    <col min="10764" max="10764" width="14.33203125" bestFit="1" customWidth="1"/>
    <col min="10765" max="10765" width="12.5" bestFit="1" customWidth="1"/>
    <col min="10766" max="10766" width="19" bestFit="1" customWidth="1"/>
    <col min="10767" max="10767" width="20.5" bestFit="1" customWidth="1"/>
    <col min="10768" max="10768" width="12.6640625" bestFit="1" customWidth="1"/>
    <col min="10769" max="10769" width="14.1640625" bestFit="1" customWidth="1"/>
    <col min="10770" max="10770" width="14.33203125" bestFit="1" customWidth="1"/>
    <col min="10771" max="10771" width="14" bestFit="1" customWidth="1"/>
    <col min="10772" max="10772" width="15" bestFit="1" customWidth="1"/>
    <col min="10773" max="10773" width="17" bestFit="1" customWidth="1"/>
    <col min="10774" max="10774" width="14.83203125" bestFit="1" customWidth="1"/>
    <col min="10775" max="10775" width="13" bestFit="1" customWidth="1"/>
    <col min="10776" max="10776" width="19.5" bestFit="1" customWidth="1"/>
    <col min="10777" max="10777" width="9.83203125" bestFit="1" customWidth="1"/>
    <col min="10778" max="10778" width="14.33203125" bestFit="1" customWidth="1"/>
    <col min="10779" max="10779" width="12.5" bestFit="1" customWidth="1"/>
    <col min="10780" max="10780" width="19" bestFit="1" customWidth="1"/>
    <col min="10781" max="10781" width="10.6640625" bestFit="1" customWidth="1"/>
    <col min="10782" max="10782" width="14.6640625" bestFit="1" customWidth="1"/>
    <col min="10783" max="10783" width="12.83203125" bestFit="1" customWidth="1"/>
    <col min="10784" max="10784" width="19.33203125" bestFit="1" customWidth="1"/>
    <col min="10785" max="10785" width="20.1640625" bestFit="1" customWidth="1"/>
    <col min="10786" max="10786" width="14" bestFit="1" customWidth="1"/>
    <col min="10787" max="10787" width="15.6640625" bestFit="1" customWidth="1"/>
    <col min="10788" max="10788" width="18.6640625" bestFit="1" customWidth="1"/>
    <col min="10789" max="10789" width="46" bestFit="1" customWidth="1"/>
    <col min="10790" max="10790" width="12.5" bestFit="1" customWidth="1"/>
    <col min="10791" max="10791" width="13.83203125" bestFit="1" customWidth="1"/>
    <col min="10792" max="11008" width="8.83203125" customWidth="1"/>
    <col min="11009" max="11009" width="36.5" bestFit="1" customWidth="1"/>
    <col min="11010" max="11010" width="7.5" bestFit="1" customWidth="1"/>
    <col min="11011" max="11011" width="7.6640625" bestFit="1" customWidth="1"/>
    <col min="11012" max="11012" width="9.5" bestFit="1" customWidth="1"/>
    <col min="11013" max="11013" width="4.33203125" bestFit="1" customWidth="1"/>
    <col min="11014" max="11014" width="4.5" bestFit="1" customWidth="1"/>
    <col min="11015" max="11015" width="20.6640625" bestFit="1" customWidth="1"/>
    <col min="11016" max="11016" width="5.5" customWidth="1"/>
    <col min="11017" max="11017" width="8.5" bestFit="1" customWidth="1"/>
    <col min="11018" max="11018" width="9.5" bestFit="1" customWidth="1"/>
    <col min="11019" max="11019" width="11.6640625" bestFit="1" customWidth="1"/>
    <col min="11020" max="11020" width="14.33203125" bestFit="1" customWidth="1"/>
    <col min="11021" max="11021" width="12.5" bestFit="1" customWidth="1"/>
    <col min="11022" max="11022" width="19" bestFit="1" customWidth="1"/>
    <col min="11023" max="11023" width="20.5" bestFit="1" customWidth="1"/>
    <col min="11024" max="11024" width="12.6640625" bestFit="1" customWidth="1"/>
    <col min="11025" max="11025" width="14.1640625" bestFit="1" customWidth="1"/>
    <col min="11026" max="11026" width="14.33203125" bestFit="1" customWidth="1"/>
    <col min="11027" max="11027" width="14" bestFit="1" customWidth="1"/>
    <col min="11028" max="11028" width="15" bestFit="1" customWidth="1"/>
    <col min="11029" max="11029" width="17" bestFit="1" customWidth="1"/>
    <col min="11030" max="11030" width="14.83203125" bestFit="1" customWidth="1"/>
    <col min="11031" max="11031" width="13" bestFit="1" customWidth="1"/>
    <col min="11032" max="11032" width="19.5" bestFit="1" customWidth="1"/>
    <col min="11033" max="11033" width="9.83203125" bestFit="1" customWidth="1"/>
    <col min="11034" max="11034" width="14.33203125" bestFit="1" customWidth="1"/>
    <col min="11035" max="11035" width="12.5" bestFit="1" customWidth="1"/>
    <col min="11036" max="11036" width="19" bestFit="1" customWidth="1"/>
    <col min="11037" max="11037" width="10.6640625" bestFit="1" customWidth="1"/>
    <col min="11038" max="11038" width="14.6640625" bestFit="1" customWidth="1"/>
    <col min="11039" max="11039" width="12.83203125" bestFit="1" customWidth="1"/>
    <col min="11040" max="11040" width="19.33203125" bestFit="1" customWidth="1"/>
    <col min="11041" max="11041" width="20.1640625" bestFit="1" customWidth="1"/>
    <col min="11042" max="11042" width="14" bestFit="1" customWidth="1"/>
    <col min="11043" max="11043" width="15.6640625" bestFit="1" customWidth="1"/>
    <col min="11044" max="11044" width="18.6640625" bestFit="1" customWidth="1"/>
    <col min="11045" max="11045" width="46" bestFit="1" customWidth="1"/>
    <col min="11046" max="11046" width="12.5" bestFit="1" customWidth="1"/>
    <col min="11047" max="11047" width="13.83203125" bestFit="1" customWidth="1"/>
    <col min="11048" max="11264" width="8.83203125" customWidth="1"/>
    <col min="11265" max="11265" width="36.5" bestFit="1" customWidth="1"/>
    <col min="11266" max="11266" width="7.5" bestFit="1" customWidth="1"/>
    <col min="11267" max="11267" width="7.6640625" bestFit="1" customWidth="1"/>
    <col min="11268" max="11268" width="9.5" bestFit="1" customWidth="1"/>
    <col min="11269" max="11269" width="4.33203125" bestFit="1" customWidth="1"/>
    <col min="11270" max="11270" width="4.5" bestFit="1" customWidth="1"/>
    <col min="11271" max="11271" width="20.6640625" bestFit="1" customWidth="1"/>
    <col min="11272" max="11272" width="5.5" customWidth="1"/>
    <col min="11273" max="11273" width="8.5" bestFit="1" customWidth="1"/>
    <col min="11274" max="11274" width="9.5" bestFit="1" customWidth="1"/>
    <col min="11275" max="11275" width="11.6640625" bestFit="1" customWidth="1"/>
    <col min="11276" max="11276" width="14.33203125" bestFit="1" customWidth="1"/>
    <col min="11277" max="11277" width="12.5" bestFit="1" customWidth="1"/>
    <col min="11278" max="11278" width="19" bestFit="1" customWidth="1"/>
    <col min="11279" max="11279" width="20.5" bestFit="1" customWidth="1"/>
    <col min="11280" max="11280" width="12.6640625" bestFit="1" customWidth="1"/>
    <col min="11281" max="11281" width="14.1640625" bestFit="1" customWidth="1"/>
    <col min="11282" max="11282" width="14.33203125" bestFit="1" customWidth="1"/>
    <col min="11283" max="11283" width="14" bestFit="1" customWidth="1"/>
    <col min="11284" max="11284" width="15" bestFit="1" customWidth="1"/>
    <col min="11285" max="11285" width="17" bestFit="1" customWidth="1"/>
    <col min="11286" max="11286" width="14.83203125" bestFit="1" customWidth="1"/>
    <col min="11287" max="11287" width="13" bestFit="1" customWidth="1"/>
    <col min="11288" max="11288" width="19.5" bestFit="1" customWidth="1"/>
    <col min="11289" max="11289" width="9.83203125" bestFit="1" customWidth="1"/>
    <col min="11290" max="11290" width="14.33203125" bestFit="1" customWidth="1"/>
    <col min="11291" max="11291" width="12.5" bestFit="1" customWidth="1"/>
    <col min="11292" max="11292" width="19" bestFit="1" customWidth="1"/>
    <col min="11293" max="11293" width="10.6640625" bestFit="1" customWidth="1"/>
    <col min="11294" max="11294" width="14.6640625" bestFit="1" customWidth="1"/>
    <col min="11295" max="11295" width="12.83203125" bestFit="1" customWidth="1"/>
    <col min="11296" max="11296" width="19.33203125" bestFit="1" customWidth="1"/>
    <col min="11297" max="11297" width="20.1640625" bestFit="1" customWidth="1"/>
    <col min="11298" max="11298" width="14" bestFit="1" customWidth="1"/>
    <col min="11299" max="11299" width="15.6640625" bestFit="1" customWidth="1"/>
    <col min="11300" max="11300" width="18.6640625" bestFit="1" customWidth="1"/>
    <col min="11301" max="11301" width="46" bestFit="1" customWidth="1"/>
    <col min="11302" max="11302" width="12.5" bestFit="1" customWidth="1"/>
    <col min="11303" max="11303" width="13.83203125" bestFit="1" customWidth="1"/>
    <col min="11304" max="11520" width="8.83203125" customWidth="1"/>
    <col min="11521" max="11521" width="36.5" bestFit="1" customWidth="1"/>
    <col min="11522" max="11522" width="7.5" bestFit="1" customWidth="1"/>
    <col min="11523" max="11523" width="7.6640625" bestFit="1" customWidth="1"/>
    <col min="11524" max="11524" width="9.5" bestFit="1" customWidth="1"/>
    <col min="11525" max="11525" width="4.33203125" bestFit="1" customWidth="1"/>
    <col min="11526" max="11526" width="4.5" bestFit="1" customWidth="1"/>
    <col min="11527" max="11527" width="20.6640625" bestFit="1" customWidth="1"/>
    <col min="11528" max="11528" width="5.5" customWidth="1"/>
    <col min="11529" max="11529" width="8.5" bestFit="1" customWidth="1"/>
    <col min="11530" max="11530" width="9.5" bestFit="1" customWidth="1"/>
    <col min="11531" max="11531" width="11.6640625" bestFit="1" customWidth="1"/>
    <col min="11532" max="11532" width="14.33203125" bestFit="1" customWidth="1"/>
    <col min="11533" max="11533" width="12.5" bestFit="1" customWidth="1"/>
    <col min="11534" max="11534" width="19" bestFit="1" customWidth="1"/>
    <col min="11535" max="11535" width="20.5" bestFit="1" customWidth="1"/>
    <col min="11536" max="11536" width="12.6640625" bestFit="1" customWidth="1"/>
    <col min="11537" max="11537" width="14.1640625" bestFit="1" customWidth="1"/>
    <col min="11538" max="11538" width="14.33203125" bestFit="1" customWidth="1"/>
    <col min="11539" max="11539" width="14" bestFit="1" customWidth="1"/>
    <col min="11540" max="11540" width="15" bestFit="1" customWidth="1"/>
    <col min="11541" max="11541" width="17" bestFit="1" customWidth="1"/>
    <col min="11542" max="11542" width="14.83203125" bestFit="1" customWidth="1"/>
    <col min="11543" max="11543" width="13" bestFit="1" customWidth="1"/>
    <col min="11544" max="11544" width="19.5" bestFit="1" customWidth="1"/>
    <col min="11545" max="11545" width="9.83203125" bestFit="1" customWidth="1"/>
    <col min="11546" max="11546" width="14.33203125" bestFit="1" customWidth="1"/>
    <col min="11547" max="11547" width="12.5" bestFit="1" customWidth="1"/>
    <col min="11548" max="11548" width="19" bestFit="1" customWidth="1"/>
    <col min="11549" max="11549" width="10.6640625" bestFit="1" customWidth="1"/>
    <col min="11550" max="11550" width="14.6640625" bestFit="1" customWidth="1"/>
    <col min="11551" max="11551" width="12.83203125" bestFit="1" customWidth="1"/>
    <col min="11552" max="11552" width="19.33203125" bestFit="1" customWidth="1"/>
    <col min="11553" max="11553" width="20.1640625" bestFit="1" customWidth="1"/>
    <col min="11554" max="11554" width="14" bestFit="1" customWidth="1"/>
    <col min="11555" max="11555" width="15.6640625" bestFit="1" customWidth="1"/>
    <col min="11556" max="11556" width="18.6640625" bestFit="1" customWidth="1"/>
    <col min="11557" max="11557" width="46" bestFit="1" customWidth="1"/>
    <col min="11558" max="11558" width="12.5" bestFit="1" customWidth="1"/>
    <col min="11559" max="11559" width="13.83203125" bestFit="1" customWidth="1"/>
    <col min="11560" max="11776" width="8.83203125" customWidth="1"/>
    <col min="11777" max="11777" width="36.5" bestFit="1" customWidth="1"/>
    <col min="11778" max="11778" width="7.5" bestFit="1" customWidth="1"/>
    <col min="11779" max="11779" width="7.6640625" bestFit="1" customWidth="1"/>
    <col min="11780" max="11780" width="9.5" bestFit="1" customWidth="1"/>
    <col min="11781" max="11781" width="4.33203125" bestFit="1" customWidth="1"/>
    <col min="11782" max="11782" width="4.5" bestFit="1" customWidth="1"/>
    <col min="11783" max="11783" width="20.6640625" bestFit="1" customWidth="1"/>
    <col min="11784" max="11784" width="5.5" customWidth="1"/>
    <col min="11785" max="11785" width="8.5" bestFit="1" customWidth="1"/>
    <col min="11786" max="11786" width="9.5" bestFit="1" customWidth="1"/>
    <col min="11787" max="11787" width="11.6640625" bestFit="1" customWidth="1"/>
    <col min="11788" max="11788" width="14.33203125" bestFit="1" customWidth="1"/>
    <col min="11789" max="11789" width="12.5" bestFit="1" customWidth="1"/>
    <col min="11790" max="11790" width="19" bestFit="1" customWidth="1"/>
    <col min="11791" max="11791" width="20.5" bestFit="1" customWidth="1"/>
    <col min="11792" max="11792" width="12.6640625" bestFit="1" customWidth="1"/>
    <col min="11793" max="11793" width="14.1640625" bestFit="1" customWidth="1"/>
    <col min="11794" max="11794" width="14.33203125" bestFit="1" customWidth="1"/>
    <col min="11795" max="11795" width="14" bestFit="1" customWidth="1"/>
    <col min="11796" max="11796" width="15" bestFit="1" customWidth="1"/>
    <col min="11797" max="11797" width="17" bestFit="1" customWidth="1"/>
    <col min="11798" max="11798" width="14.83203125" bestFit="1" customWidth="1"/>
    <col min="11799" max="11799" width="13" bestFit="1" customWidth="1"/>
    <col min="11800" max="11800" width="19.5" bestFit="1" customWidth="1"/>
    <col min="11801" max="11801" width="9.83203125" bestFit="1" customWidth="1"/>
    <col min="11802" max="11802" width="14.33203125" bestFit="1" customWidth="1"/>
    <col min="11803" max="11803" width="12.5" bestFit="1" customWidth="1"/>
    <col min="11804" max="11804" width="19" bestFit="1" customWidth="1"/>
    <col min="11805" max="11805" width="10.6640625" bestFit="1" customWidth="1"/>
    <col min="11806" max="11806" width="14.6640625" bestFit="1" customWidth="1"/>
    <col min="11807" max="11807" width="12.83203125" bestFit="1" customWidth="1"/>
    <col min="11808" max="11808" width="19.33203125" bestFit="1" customWidth="1"/>
    <col min="11809" max="11809" width="20.1640625" bestFit="1" customWidth="1"/>
    <col min="11810" max="11810" width="14" bestFit="1" customWidth="1"/>
    <col min="11811" max="11811" width="15.6640625" bestFit="1" customWidth="1"/>
    <col min="11812" max="11812" width="18.6640625" bestFit="1" customWidth="1"/>
    <col min="11813" max="11813" width="46" bestFit="1" customWidth="1"/>
    <col min="11814" max="11814" width="12.5" bestFit="1" customWidth="1"/>
    <col min="11815" max="11815" width="13.83203125" bestFit="1" customWidth="1"/>
    <col min="11816" max="12032" width="8.83203125" customWidth="1"/>
    <col min="12033" max="12033" width="36.5" bestFit="1" customWidth="1"/>
    <col min="12034" max="12034" width="7.5" bestFit="1" customWidth="1"/>
    <col min="12035" max="12035" width="7.6640625" bestFit="1" customWidth="1"/>
    <col min="12036" max="12036" width="9.5" bestFit="1" customWidth="1"/>
    <col min="12037" max="12037" width="4.33203125" bestFit="1" customWidth="1"/>
    <col min="12038" max="12038" width="4.5" bestFit="1" customWidth="1"/>
    <col min="12039" max="12039" width="20.6640625" bestFit="1" customWidth="1"/>
    <col min="12040" max="12040" width="5.5" customWidth="1"/>
    <col min="12041" max="12041" width="8.5" bestFit="1" customWidth="1"/>
    <col min="12042" max="12042" width="9.5" bestFit="1" customWidth="1"/>
    <col min="12043" max="12043" width="11.6640625" bestFit="1" customWidth="1"/>
    <col min="12044" max="12044" width="14.33203125" bestFit="1" customWidth="1"/>
    <col min="12045" max="12045" width="12.5" bestFit="1" customWidth="1"/>
    <col min="12046" max="12046" width="19" bestFit="1" customWidth="1"/>
    <col min="12047" max="12047" width="20.5" bestFit="1" customWidth="1"/>
    <col min="12048" max="12048" width="12.6640625" bestFit="1" customWidth="1"/>
    <col min="12049" max="12049" width="14.1640625" bestFit="1" customWidth="1"/>
    <col min="12050" max="12050" width="14.33203125" bestFit="1" customWidth="1"/>
    <col min="12051" max="12051" width="14" bestFit="1" customWidth="1"/>
    <col min="12052" max="12052" width="15" bestFit="1" customWidth="1"/>
    <col min="12053" max="12053" width="17" bestFit="1" customWidth="1"/>
    <col min="12054" max="12054" width="14.83203125" bestFit="1" customWidth="1"/>
    <col min="12055" max="12055" width="13" bestFit="1" customWidth="1"/>
    <col min="12056" max="12056" width="19.5" bestFit="1" customWidth="1"/>
    <col min="12057" max="12057" width="9.83203125" bestFit="1" customWidth="1"/>
    <col min="12058" max="12058" width="14.33203125" bestFit="1" customWidth="1"/>
    <col min="12059" max="12059" width="12.5" bestFit="1" customWidth="1"/>
    <col min="12060" max="12060" width="19" bestFit="1" customWidth="1"/>
    <col min="12061" max="12061" width="10.6640625" bestFit="1" customWidth="1"/>
    <col min="12062" max="12062" width="14.6640625" bestFit="1" customWidth="1"/>
    <col min="12063" max="12063" width="12.83203125" bestFit="1" customWidth="1"/>
    <col min="12064" max="12064" width="19.33203125" bestFit="1" customWidth="1"/>
    <col min="12065" max="12065" width="20.1640625" bestFit="1" customWidth="1"/>
    <col min="12066" max="12066" width="14" bestFit="1" customWidth="1"/>
    <col min="12067" max="12067" width="15.6640625" bestFit="1" customWidth="1"/>
    <col min="12068" max="12068" width="18.6640625" bestFit="1" customWidth="1"/>
    <col min="12069" max="12069" width="46" bestFit="1" customWidth="1"/>
    <col min="12070" max="12070" width="12.5" bestFit="1" customWidth="1"/>
    <col min="12071" max="12071" width="13.83203125" bestFit="1" customWidth="1"/>
    <col min="12072" max="12288" width="8.83203125" customWidth="1"/>
    <col min="12289" max="12289" width="36.5" bestFit="1" customWidth="1"/>
    <col min="12290" max="12290" width="7.5" bestFit="1" customWidth="1"/>
    <col min="12291" max="12291" width="7.6640625" bestFit="1" customWidth="1"/>
    <col min="12292" max="12292" width="9.5" bestFit="1" customWidth="1"/>
    <col min="12293" max="12293" width="4.33203125" bestFit="1" customWidth="1"/>
    <col min="12294" max="12294" width="4.5" bestFit="1" customWidth="1"/>
    <col min="12295" max="12295" width="20.6640625" bestFit="1" customWidth="1"/>
    <col min="12296" max="12296" width="5.5" customWidth="1"/>
    <col min="12297" max="12297" width="8.5" bestFit="1" customWidth="1"/>
    <col min="12298" max="12298" width="9.5" bestFit="1" customWidth="1"/>
    <col min="12299" max="12299" width="11.6640625" bestFit="1" customWidth="1"/>
    <col min="12300" max="12300" width="14.33203125" bestFit="1" customWidth="1"/>
    <col min="12301" max="12301" width="12.5" bestFit="1" customWidth="1"/>
    <col min="12302" max="12302" width="19" bestFit="1" customWidth="1"/>
    <col min="12303" max="12303" width="20.5" bestFit="1" customWidth="1"/>
    <col min="12304" max="12304" width="12.6640625" bestFit="1" customWidth="1"/>
    <col min="12305" max="12305" width="14.1640625" bestFit="1" customWidth="1"/>
    <col min="12306" max="12306" width="14.33203125" bestFit="1" customWidth="1"/>
    <col min="12307" max="12307" width="14" bestFit="1" customWidth="1"/>
    <col min="12308" max="12308" width="15" bestFit="1" customWidth="1"/>
    <col min="12309" max="12309" width="17" bestFit="1" customWidth="1"/>
    <col min="12310" max="12310" width="14.83203125" bestFit="1" customWidth="1"/>
    <col min="12311" max="12311" width="13" bestFit="1" customWidth="1"/>
    <col min="12312" max="12312" width="19.5" bestFit="1" customWidth="1"/>
    <col min="12313" max="12313" width="9.83203125" bestFit="1" customWidth="1"/>
    <col min="12314" max="12314" width="14.33203125" bestFit="1" customWidth="1"/>
    <col min="12315" max="12315" width="12.5" bestFit="1" customWidth="1"/>
    <col min="12316" max="12316" width="19" bestFit="1" customWidth="1"/>
    <col min="12317" max="12317" width="10.6640625" bestFit="1" customWidth="1"/>
    <col min="12318" max="12318" width="14.6640625" bestFit="1" customWidth="1"/>
    <col min="12319" max="12319" width="12.83203125" bestFit="1" customWidth="1"/>
    <col min="12320" max="12320" width="19.33203125" bestFit="1" customWidth="1"/>
    <col min="12321" max="12321" width="20.1640625" bestFit="1" customWidth="1"/>
    <col min="12322" max="12322" width="14" bestFit="1" customWidth="1"/>
    <col min="12323" max="12323" width="15.6640625" bestFit="1" customWidth="1"/>
    <col min="12324" max="12324" width="18.6640625" bestFit="1" customWidth="1"/>
    <col min="12325" max="12325" width="46" bestFit="1" customWidth="1"/>
    <col min="12326" max="12326" width="12.5" bestFit="1" customWidth="1"/>
    <col min="12327" max="12327" width="13.83203125" bestFit="1" customWidth="1"/>
    <col min="12328" max="12544" width="8.83203125" customWidth="1"/>
    <col min="12545" max="12545" width="36.5" bestFit="1" customWidth="1"/>
    <col min="12546" max="12546" width="7.5" bestFit="1" customWidth="1"/>
    <col min="12547" max="12547" width="7.6640625" bestFit="1" customWidth="1"/>
    <col min="12548" max="12548" width="9.5" bestFit="1" customWidth="1"/>
    <col min="12549" max="12549" width="4.33203125" bestFit="1" customWidth="1"/>
    <col min="12550" max="12550" width="4.5" bestFit="1" customWidth="1"/>
    <col min="12551" max="12551" width="20.6640625" bestFit="1" customWidth="1"/>
    <col min="12552" max="12552" width="5.5" customWidth="1"/>
    <col min="12553" max="12553" width="8.5" bestFit="1" customWidth="1"/>
    <col min="12554" max="12554" width="9.5" bestFit="1" customWidth="1"/>
    <col min="12555" max="12555" width="11.6640625" bestFit="1" customWidth="1"/>
    <col min="12556" max="12556" width="14.33203125" bestFit="1" customWidth="1"/>
    <col min="12557" max="12557" width="12.5" bestFit="1" customWidth="1"/>
    <col min="12558" max="12558" width="19" bestFit="1" customWidth="1"/>
    <col min="12559" max="12559" width="20.5" bestFit="1" customWidth="1"/>
    <col min="12560" max="12560" width="12.6640625" bestFit="1" customWidth="1"/>
    <col min="12561" max="12561" width="14.1640625" bestFit="1" customWidth="1"/>
    <col min="12562" max="12562" width="14.33203125" bestFit="1" customWidth="1"/>
    <col min="12563" max="12563" width="14" bestFit="1" customWidth="1"/>
    <col min="12564" max="12564" width="15" bestFit="1" customWidth="1"/>
    <col min="12565" max="12565" width="17" bestFit="1" customWidth="1"/>
    <col min="12566" max="12566" width="14.83203125" bestFit="1" customWidth="1"/>
    <col min="12567" max="12567" width="13" bestFit="1" customWidth="1"/>
    <col min="12568" max="12568" width="19.5" bestFit="1" customWidth="1"/>
    <col min="12569" max="12569" width="9.83203125" bestFit="1" customWidth="1"/>
    <col min="12570" max="12570" width="14.33203125" bestFit="1" customWidth="1"/>
    <col min="12571" max="12571" width="12.5" bestFit="1" customWidth="1"/>
    <col min="12572" max="12572" width="19" bestFit="1" customWidth="1"/>
    <col min="12573" max="12573" width="10.6640625" bestFit="1" customWidth="1"/>
    <col min="12574" max="12574" width="14.6640625" bestFit="1" customWidth="1"/>
    <col min="12575" max="12575" width="12.83203125" bestFit="1" customWidth="1"/>
    <col min="12576" max="12576" width="19.33203125" bestFit="1" customWidth="1"/>
    <col min="12577" max="12577" width="20.1640625" bestFit="1" customWidth="1"/>
    <col min="12578" max="12578" width="14" bestFit="1" customWidth="1"/>
    <col min="12579" max="12579" width="15.6640625" bestFit="1" customWidth="1"/>
    <col min="12580" max="12580" width="18.6640625" bestFit="1" customWidth="1"/>
    <col min="12581" max="12581" width="46" bestFit="1" customWidth="1"/>
    <col min="12582" max="12582" width="12.5" bestFit="1" customWidth="1"/>
    <col min="12583" max="12583" width="13.83203125" bestFit="1" customWidth="1"/>
    <col min="12584" max="12800" width="8.83203125" customWidth="1"/>
    <col min="12801" max="12801" width="36.5" bestFit="1" customWidth="1"/>
    <col min="12802" max="12802" width="7.5" bestFit="1" customWidth="1"/>
    <col min="12803" max="12803" width="7.6640625" bestFit="1" customWidth="1"/>
    <col min="12804" max="12804" width="9.5" bestFit="1" customWidth="1"/>
    <col min="12805" max="12805" width="4.33203125" bestFit="1" customWidth="1"/>
    <col min="12806" max="12806" width="4.5" bestFit="1" customWidth="1"/>
    <col min="12807" max="12807" width="20.6640625" bestFit="1" customWidth="1"/>
    <col min="12808" max="12808" width="5.5" customWidth="1"/>
    <col min="12809" max="12809" width="8.5" bestFit="1" customWidth="1"/>
    <col min="12810" max="12810" width="9.5" bestFit="1" customWidth="1"/>
    <col min="12811" max="12811" width="11.6640625" bestFit="1" customWidth="1"/>
    <col min="12812" max="12812" width="14.33203125" bestFit="1" customWidth="1"/>
    <col min="12813" max="12813" width="12.5" bestFit="1" customWidth="1"/>
    <col min="12814" max="12814" width="19" bestFit="1" customWidth="1"/>
    <col min="12815" max="12815" width="20.5" bestFit="1" customWidth="1"/>
    <col min="12816" max="12816" width="12.6640625" bestFit="1" customWidth="1"/>
    <col min="12817" max="12817" width="14.1640625" bestFit="1" customWidth="1"/>
    <col min="12818" max="12818" width="14.33203125" bestFit="1" customWidth="1"/>
    <col min="12819" max="12819" width="14" bestFit="1" customWidth="1"/>
    <col min="12820" max="12820" width="15" bestFit="1" customWidth="1"/>
    <col min="12821" max="12821" width="17" bestFit="1" customWidth="1"/>
    <col min="12822" max="12822" width="14.83203125" bestFit="1" customWidth="1"/>
    <col min="12823" max="12823" width="13" bestFit="1" customWidth="1"/>
    <col min="12824" max="12824" width="19.5" bestFit="1" customWidth="1"/>
    <col min="12825" max="12825" width="9.83203125" bestFit="1" customWidth="1"/>
    <col min="12826" max="12826" width="14.33203125" bestFit="1" customWidth="1"/>
    <col min="12827" max="12827" width="12.5" bestFit="1" customWidth="1"/>
    <col min="12828" max="12828" width="19" bestFit="1" customWidth="1"/>
    <col min="12829" max="12829" width="10.6640625" bestFit="1" customWidth="1"/>
    <col min="12830" max="12830" width="14.6640625" bestFit="1" customWidth="1"/>
    <col min="12831" max="12831" width="12.83203125" bestFit="1" customWidth="1"/>
    <col min="12832" max="12832" width="19.33203125" bestFit="1" customWidth="1"/>
    <col min="12833" max="12833" width="20.1640625" bestFit="1" customWidth="1"/>
    <col min="12834" max="12834" width="14" bestFit="1" customWidth="1"/>
    <col min="12835" max="12835" width="15.6640625" bestFit="1" customWidth="1"/>
    <col min="12836" max="12836" width="18.6640625" bestFit="1" customWidth="1"/>
    <col min="12837" max="12837" width="46" bestFit="1" customWidth="1"/>
    <col min="12838" max="12838" width="12.5" bestFit="1" customWidth="1"/>
    <col min="12839" max="12839" width="13.83203125" bestFit="1" customWidth="1"/>
    <col min="12840" max="13056" width="8.83203125" customWidth="1"/>
    <col min="13057" max="13057" width="36.5" bestFit="1" customWidth="1"/>
    <col min="13058" max="13058" width="7.5" bestFit="1" customWidth="1"/>
    <col min="13059" max="13059" width="7.6640625" bestFit="1" customWidth="1"/>
    <col min="13060" max="13060" width="9.5" bestFit="1" customWidth="1"/>
    <col min="13061" max="13061" width="4.33203125" bestFit="1" customWidth="1"/>
    <col min="13062" max="13062" width="4.5" bestFit="1" customWidth="1"/>
    <col min="13063" max="13063" width="20.6640625" bestFit="1" customWidth="1"/>
    <col min="13064" max="13064" width="5.5" customWidth="1"/>
    <col min="13065" max="13065" width="8.5" bestFit="1" customWidth="1"/>
    <col min="13066" max="13066" width="9.5" bestFit="1" customWidth="1"/>
    <col min="13067" max="13067" width="11.6640625" bestFit="1" customWidth="1"/>
    <col min="13068" max="13068" width="14.33203125" bestFit="1" customWidth="1"/>
    <col min="13069" max="13069" width="12.5" bestFit="1" customWidth="1"/>
    <col min="13070" max="13070" width="19" bestFit="1" customWidth="1"/>
    <col min="13071" max="13071" width="20.5" bestFit="1" customWidth="1"/>
    <col min="13072" max="13072" width="12.6640625" bestFit="1" customWidth="1"/>
    <col min="13073" max="13073" width="14.1640625" bestFit="1" customWidth="1"/>
    <col min="13074" max="13074" width="14.33203125" bestFit="1" customWidth="1"/>
    <col min="13075" max="13075" width="14" bestFit="1" customWidth="1"/>
    <col min="13076" max="13076" width="15" bestFit="1" customWidth="1"/>
    <col min="13077" max="13077" width="17" bestFit="1" customWidth="1"/>
    <col min="13078" max="13078" width="14.83203125" bestFit="1" customWidth="1"/>
    <col min="13079" max="13079" width="13" bestFit="1" customWidth="1"/>
    <col min="13080" max="13080" width="19.5" bestFit="1" customWidth="1"/>
    <col min="13081" max="13081" width="9.83203125" bestFit="1" customWidth="1"/>
    <col min="13082" max="13082" width="14.33203125" bestFit="1" customWidth="1"/>
    <col min="13083" max="13083" width="12.5" bestFit="1" customWidth="1"/>
    <col min="13084" max="13084" width="19" bestFit="1" customWidth="1"/>
    <col min="13085" max="13085" width="10.6640625" bestFit="1" customWidth="1"/>
    <col min="13086" max="13086" width="14.6640625" bestFit="1" customWidth="1"/>
    <col min="13087" max="13087" width="12.83203125" bestFit="1" customWidth="1"/>
    <col min="13088" max="13088" width="19.33203125" bestFit="1" customWidth="1"/>
    <col min="13089" max="13089" width="20.1640625" bestFit="1" customWidth="1"/>
    <col min="13090" max="13090" width="14" bestFit="1" customWidth="1"/>
    <col min="13091" max="13091" width="15.6640625" bestFit="1" customWidth="1"/>
    <col min="13092" max="13092" width="18.6640625" bestFit="1" customWidth="1"/>
    <col min="13093" max="13093" width="46" bestFit="1" customWidth="1"/>
    <col min="13094" max="13094" width="12.5" bestFit="1" customWidth="1"/>
    <col min="13095" max="13095" width="13.83203125" bestFit="1" customWidth="1"/>
    <col min="13096" max="13312" width="8.83203125" customWidth="1"/>
    <col min="13313" max="13313" width="36.5" bestFit="1" customWidth="1"/>
    <col min="13314" max="13314" width="7.5" bestFit="1" customWidth="1"/>
    <col min="13315" max="13315" width="7.6640625" bestFit="1" customWidth="1"/>
    <col min="13316" max="13316" width="9.5" bestFit="1" customWidth="1"/>
    <col min="13317" max="13317" width="4.33203125" bestFit="1" customWidth="1"/>
    <col min="13318" max="13318" width="4.5" bestFit="1" customWidth="1"/>
    <col min="13319" max="13319" width="20.6640625" bestFit="1" customWidth="1"/>
    <col min="13320" max="13320" width="5.5" customWidth="1"/>
    <col min="13321" max="13321" width="8.5" bestFit="1" customWidth="1"/>
    <col min="13322" max="13322" width="9.5" bestFit="1" customWidth="1"/>
    <col min="13323" max="13323" width="11.6640625" bestFit="1" customWidth="1"/>
    <col min="13324" max="13324" width="14.33203125" bestFit="1" customWidth="1"/>
    <col min="13325" max="13325" width="12.5" bestFit="1" customWidth="1"/>
    <col min="13326" max="13326" width="19" bestFit="1" customWidth="1"/>
    <col min="13327" max="13327" width="20.5" bestFit="1" customWidth="1"/>
    <col min="13328" max="13328" width="12.6640625" bestFit="1" customWidth="1"/>
    <col min="13329" max="13329" width="14.1640625" bestFit="1" customWidth="1"/>
    <col min="13330" max="13330" width="14.33203125" bestFit="1" customWidth="1"/>
    <col min="13331" max="13331" width="14" bestFit="1" customWidth="1"/>
    <col min="13332" max="13332" width="15" bestFit="1" customWidth="1"/>
    <col min="13333" max="13333" width="17" bestFit="1" customWidth="1"/>
    <col min="13334" max="13334" width="14.83203125" bestFit="1" customWidth="1"/>
    <col min="13335" max="13335" width="13" bestFit="1" customWidth="1"/>
    <col min="13336" max="13336" width="19.5" bestFit="1" customWidth="1"/>
    <col min="13337" max="13337" width="9.83203125" bestFit="1" customWidth="1"/>
    <col min="13338" max="13338" width="14.33203125" bestFit="1" customWidth="1"/>
    <col min="13339" max="13339" width="12.5" bestFit="1" customWidth="1"/>
    <col min="13340" max="13340" width="19" bestFit="1" customWidth="1"/>
    <col min="13341" max="13341" width="10.6640625" bestFit="1" customWidth="1"/>
    <col min="13342" max="13342" width="14.6640625" bestFit="1" customWidth="1"/>
    <col min="13343" max="13343" width="12.83203125" bestFit="1" customWidth="1"/>
    <col min="13344" max="13344" width="19.33203125" bestFit="1" customWidth="1"/>
    <col min="13345" max="13345" width="20.1640625" bestFit="1" customWidth="1"/>
    <col min="13346" max="13346" width="14" bestFit="1" customWidth="1"/>
    <col min="13347" max="13347" width="15.6640625" bestFit="1" customWidth="1"/>
    <col min="13348" max="13348" width="18.6640625" bestFit="1" customWidth="1"/>
    <col min="13349" max="13349" width="46" bestFit="1" customWidth="1"/>
    <col min="13350" max="13350" width="12.5" bestFit="1" customWidth="1"/>
    <col min="13351" max="13351" width="13.83203125" bestFit="1" customWidth="1"/>
    <col min="13352" max="13568" width="8.83203125" customWidth="1"/>
    <col min="13569" max="13569" width="36.5" bestFit="1" customWidth="1"/>
    <col min="13570" max="13570" width="7.5" bestFit="1" customWidth="1"/>
    <col min="13571" max="13571" width="7.6640625" bestFit="1" customWidth="1"/>
    <col min="13572" max="13572" width="9.5" bestFit="1" customWidth="1"/>
    <col min="13573" max="13573" width="4.33203125" bestFit="1" customWidth="1"/>
    <col min="13574" max="13574" width="4.5" bestFit="1" customWidth="1"/>
    <col min="13575" max="13575" width="20.6640625" bestFit="1" customWidth="1"/>
    <col min="13576" max="13576" width="5.5" customWidth="1"/>
    <col min="13577" max="13577" width="8.5" bestFit="1" customWidth="1"/>
    <col min="13578" max="13578" width="9.5" bestFit="1" customWidth="1"/>
    <col min="13579" max="13579" width="11.6640625" bestFit="1" customWidth="1"/>
    <col min="13580" max="13580" width="14.33203125" bestFit="1" customWidth="1"/>
    <col min="13581" max="13581" width="12.5" bestFit="1" customWidth="1"/>
    <col min="13582" max="13582" width="19" bestFit="1" customWidth="1"/>
    <col min="13583" max="13583" width="20.5" bestFit="1" customWidth="1"/>
    <col min="13584" max="13584" width="12.6640625" bestFit="1" customWidth="1"/>
    <col min="13585" max="13585" width="14.1640625" bestFit="1" customWidth="1"/>
    <col min="13586" max="13586" width="14.33203125" bestFit="1" customWidth="1"/>
    <col min="13587" max="13587" width="14" bestFit="1" customWidth="1"/>
    <col min="13588" max="13588" width="15" bestFit="1" customWidth="1"/>
    <col min="13589" max="13589" width="17" bestFit="1" customWidth="1"/>
    <col min="13590" max="13590" width="14.83203125" bestFit="1" customWidth="1"/>
    <col min="13591" max="13591" width="13" bestFit="1" customWidth="1"/>
    <col min="13592" max="13592" width="19.5" bestFit="1" customWidth="1"/>
    <col min="13593" max="13593" width="9.83203125" bestFit="1" customWidth="1"/>
    <col min="13594" max="13594" width="14.33203125" bestFit="1" customWidth="1"/>
    <col min="13595" max="13595" width="12.5" bestFit="1" customWidth="1"/>
    <col min="13596" max="13596" width="19" bestFit="1" customWidth="1"/>
    <col min="13597" max="13597" width="10.6640625" bestFit="1" customWidth="1"/>
    <col min="13598" max="13598" width="14.6640625" bestFit="1" customWidth="1"/>
    <col min="13599" max="13599" width="12.83203125" bestFit="1" customWidth="1"/>
    <col min="13600" max="13600" width="19.33203125" bestFit="1" customWidth="1"/>
    <col min="13601" max="13601" width="20.1640625" bestFit="1" customWidth="1"/>
    <col min="13602" max="13602" width="14" bestFit="1" customWidth="1"/>
    <col min="13603" max="13603" width="15.6640625" bestFit="1" customWidth="1"/>
    <col min="13604" max="13604" width="18.6640625" bestFit="1" customWidth="1"/>
    <col min="13605" max="13605" width="46" bestFit="1" customWidth="1"/>
    <col min="13606" max="13606" width="12.5" bestFit="1" customWidth="1"/>
    <col min="13607" max="13607" width="13.83203125" bestFit="1" customWidth="1"/>
    <col min="13608" max="13824" width="8.83203125" customWidth="1"/>
    <col min="13825" max="13825" width="36.5" bestFit="1" customWidth="1"/>
    <col min="13826" max="13826" width="7.5" bestFit="1" customWidth="1"/>
    <col min="13827" max="13827" width="7.6640625" bestFit="1" customWidth="1"/>
    <col min="13828" max="13828" width="9.5" bestFit="1" customWidth="1"/>
    <col min="13829" max="13829" width="4.33203125" bestFit="1" customWidth="1"/>
    <col min="13830" max="13830" width="4.5" bestFit="1" customWidth="1"/>
    <col min="13831" max="13831" width="20.6640625" bestFit="1" customWidth="1"/>
    <col min="13832" max="13832" width="5.5" customWidth="1"/>
    <col min="13833" max="13833" width="8.5" bestFit="1" customWidth="1"/>
    <col min="13834" max="13834" width="9.5" bestFit="1" customWidth="1"/>
    <col min="13835" max="13835" width="11.6640625" bestFit="1" customWidth="1"/>
    <col min="13836" max="13836" width="14.33203125" bestFit="1" customWidth="1"/>
    <col min="13837" max="13837" width="12.5" bestFit="1" customWidth="1"/>
    <col min="13838" max="13838" width="19" bestFit="1" customWidth="1"/>
    <col min="13839" max="13839" width="20.5" bestFit="1" customWidth="1"/>
    <col min="13840" max="13840" width="12.6640625" bestFit="1" customWidth="1"/>
    <col min="13841" max="13841" width="14.1640625" bestFit="1" customWidth="1"/>
    <col min="13842" max="13842" width="14.33203125" bestFit="1" customWidth="1"/>
    <col min="13843" max="13843" width="14" bestFit="1" customWidth="1"/>
    <col min="13844" max="13844" width="15" bestFit="1" customWidth="1"/>
    <col min="13845" max="13845" width="17" bestFit="1" customWidth="1"/>
    <col min="13846" max="13846" width="14.83203125" bestFit="1" customWidth="1"/>
    <col min="13847" max="13847" width="13" bestFit="1" customWidth="1"/>
    <col min="13848" max="13848" width="19.5" bestFit="1" customWidth="1"/>
    <col min="13849" max="13849" width="9.83203125" bestFit="1" customWidth="1"/>
    <col min="13850" max="13850" width="14.33203125" bestFit="1" customWidth="1"/>
    <col min="13851" max="13851" width="12.5" bestFit="1" customWidth="1"/>
    <col min="13852" max="13852" width="19" bestFit="1" customWidth="1"/>
    <col min="13853" max="13853" width="10.6640625" bestFit="1" customWidth="1"/>
    <col min="13854" max="13854" width="14.6640625" bestFit="1" customWidth="1"/>
    <col min="13855" max="13855" width="12.83203125" bestFit="1" customWidth="1"/>
    <col min="13856" max="13856" width="19.33203125" bestFit="1" customWidth="1"/>
    <col min="13857" max="13857" width="20.1640625" bestFit="1" customWidth="1"/>
    <col min="13858" max="13858" width="14" bestFit="1" customWidth="1"/>
    <col min="13859" max="13859" width="15.6640625" bestFit="1" customWidth="1"/>
    <col min="13860" max="13860" width="18.6640625" bestFit="1" customWidth="1"/>
    <col min="13861" max="13861" width="46" bestFit="1" customWidth="1"/>
    <col min="13862" max="13862" width="12.5" bestFit="1" customWidth="1"/>
    <col min="13863" max="13863" width="13.83203125" bestFit="1" customWidth="1"/>
    <col min="13864" max="14080" width="8.83203125" customWidth="1"/>
    <col min="14081" max="14081" width="36.5" bestFit="1" customWidth="1"/>
    <col min="14082" max="14082" width="7.5" bestFit="1" customWidth="1"/>
    <col min="14083" max="14083" width="7.6640625" bestFit="1" customWidth="1"/>
    <col min="14084" max="14084" width="9.5" bestFit="1" customWidth="1"/>
    <col min="14085" max="14085" width="4.33203125" bestFit="1" customWidth="1"/>
    <col min="14086" max="14086" width="4.5" bestFit="1" customWidth="1"/>
    <col min="14087" max="14087" width="20.6640625" bestFit="1" customWidth="1"/>
    <col min="14088" max="14088" width="5.5" customWidth="1"/>
    <col min="14089" max="14089" width="8.5" bestFit="1" customWidth="1"/>
    <col min="14090" max="14090" width="9.5" bestFit="1" customWidth="1"/>
    <col min="14091" max="14091" width="11.6640625" bestFit="1" customWidth="1"/>
    <col min="14092" max="14092" width="14.33203125" bestFit="1" customWidth="1"/>
    <col min="14093" max="14093" width="12.5" bestFit="1" customWidth="1"/>
    <col min="14094" max="14094" width="19" bestFit="1" customWidth="1"/>
    <col min="14095" max="14095" width="20.5" bestFit="1" customWidth="1"/>
    <col min="14096" max="14096" width="12.6640625" bestFit="1" customWidth="1"/>
    <col min="14097" max="14097" width="14.1640625" bestFit="1" customWidth="1"/>
    <col min="14098" max="14098" width="14.33203125" bestFit="1" customWidth="1"/>
    <col min="14099" max="14099" width="14" bestFit="1" customWidth="1"/>
    <col min="14100" max="14100" width="15" bestFit="1" customWidth="1"/>
    <col min="14101" max="14101" width="17" bestFit="1" customWidth="1"/>
    <col min="14102" max="14102" width="14.83203125" bestFit="1" customWidth="1"/>
    <col min="14103" max="14103" width="13" bestFit="1" customWidth="1"/>
    <col min="14104" max="14104" width="19.5" bestFit="1" customWidth="1"/>
    <col min="14105" max="14105" width="9.83203125" bestFit="1" customWidth="1"/>
    <col min="14106" max="14106" width="14.33203125" bestFit="1" customWidth="1"/>
    <col min="14107" max="14107" width="12.5" bestFit="1" customWidth="1"/>
    <col min="14108" max="14108" width="19" bestFit="1" customWidth="1"/>
    <col min="14109" max="14109" width="10.6640625" bestFit="1" customWidth="1"/>
    <col min="14110" max="14110" width="14.6640625" bestFit="1" customWidth="1"/>
    <col min="14111" max="14111" width="12.83203125" bestFit="1" customWidth="1"/>
    <col min="14112" max="14112" width="19.33203125" bestFit="1" customWidth="1"/>
    <col min="14113" max="14113" width="20.1640625" bestFit="1" customWidth="1"/>
    <col min="14114" max="14114" width="14" bestFit="1" customWidth="1"/>
    <col min="14115" max="14115" width="15.6640625" bestFit="1" customWidth="1"/>
    <col min="14116" max="14116" width="18.6640625" bestFit="1" customWidth="1"/>
    <col min="14117" max="14117" width="46" bestFit="1" customWidth="1"/>
    <col min="14118" max="14118" width="12.5" bestFit="1" customWidth="1"/>
    <col min="14119" max="14119" width="13.83203125" bestFit="1" customWidth="1"/>
    <col min="14120" max="14336" width="8.83203125" customWidth="1"/>
    <col min="14337" max="14337" width="36.5" bestFit="1" customWidth="1"/>
    <col min="14338" max="14338" width="7.5" bestFit="1" customWidth="1"/>
    <col min="14339" max="14339" width="7.6640625" bestFit="1" customWidth="1"/>
    <col min="14340" max="14340" width="9.5" bestFit="1" customWidth="1"/>
    <col min="14341" max="14341" width="4.33203125" bestFit="1" customWidth="1"/>
    <col min="14342" max="14342" width="4.5" bestFit="1" customWidth="1"/>
    <col min="14343" max="14343" width="20.6640625" bestFit="1" customWidth="1"/>
    <col min="14344" max="14344" width="5.5" customWidth="1"/>
    <col min="14345" max="14345" width="8.5" bestFit="1" customWidth="1"/>
    <col min="14346" max="14346" width="9.5" bestFit="1" customWidth="1"/>
    <col min="14347" max="14347" width="11.6640625" bestFit="1" customWidth="1"/>
    <col min="14348" max="14348" width="14.33203125" bestFit="1" customWidth="1"/>
    <col min="14349" max="14349" width="12.5" bestFit="1" customWidth="1"/>
    <col min="14350" max="14350" width="19" bestFit="1" customWidth="1"/>
    <col min="14351" max="14351" width="20.5" bestFit="1" customWidth="1"/>
    <col min="14352" max="14352" width="12.6640625" bestFit="1" customWidth="1"/>
    <col min="14353" max="14353" width="14.1640625" bestFit="1" customWidth="1"/>
    <col min="14354" max="14354" width="14.33203125" bestFit="1" customWidth="1"/>
    <col min="14355" max="14355" width="14" bestFit="1" customWidth="1"/>
    <col min="14356" max="14356" width="15" bestFit="1" customWidth="1"/>
    <col min="14357" max="14357" width="17" bestFit="1" customWidth="1"/>
    <col min="14358" max="14358" width="14.83203125" bestFit="1" customWidth="1"/>
    <col min="14359" max="14359" width="13" bestFit="1" customWidth="1"/>
    <col min="14360" max="14360" width="19.5" bestFit="1" customWidth="1"/>
    <col min="14361" max="14361" width="9.83203125" bestFit="1" customWidth="1"/>
    <col min="14362" max="14362" width="14.33203125" bestFit="1" customWidth="1"/>
    <col min="14363" max="14363" width="12.5" bestFit="1" customWidth="1"/>
    <col min="14364" max="14364" width="19" bestFit="1" customWidth="1"/>
    <col min="14365" max="14365" width="10.6640625" bestFit="1" customWidth="1"/>
    <col min="14366" max="14366" width="14.6640625" bestFit="1" customWidth="1"/>
    <col min="14367" max="14367" width="12.83203125" bestFit="1" customWidth="1"/>
    <col min="14368" max="14368" width="19.33203125" bestFit="1" customWidth="1"/>
    <col min="14369" max="14369" width="20.1640625" bestFit="1" customWidth="1"/>
    <col min="14370" max="14370" width="14" bestFit="1" customWidth="1"/>
    <col min="14371" max="14371" width="15.6640625" bestFit="1" customWidth="1"/>
    <col min="14372" max="14372" width="18.6640625" bestFit="1" customWidth="1"/>
    <col min="14373" max="14373" width="46" bestFit="1" customWidth="1"/>
    <col min="14374" max="14374" width="12.5" bestFit="1" customWidth="1"/>
    <col min="14375" max="14375" width="13.83203125" bestFit="1" customWidth="1"/>
    <col min="14376" max="14592" width="8.83203125" customWidth="1"/>
    <col min="14593" max="14593" width="36.5" bestFit="1" customWidth="1"/>
    <col min="14594" max="14594" width="7.5" bestFit="1" customWidth="1"/>
    <col min="14595" max="14595" width="7.6640625" bestFit="1" customWidth="1"/>
    <col min="14596" max="14596" width="9.5" bestFit="1" customWidth="1"/>
    <col min="14597" max="14597" width="4.33203125" bestFit="1" customWidth="1"/>
    <col min="14598" max="14598" width="4.5" bestFit="1" customWidth="1"/>
    <col min="14599" max="14599" width="20.6640625" bestFit="1" customWidth="1"/>
    <col min="14600" max="14600" width="5.5" customWidth="1"/>
    <col min="14601" max="14601" width="8.5" bestFit="1" customWidth="1"/>
    <col min="14602" max="14602" width="9.5" bestFit="1" customWidth="1"/>
    <col min="14603" max="14603" width="11.6640625" bestFit="1" customWidth="1"/>
    <col min="14604" max="14604" width="14.33203125" bestFit="1" customWidth="1"/>
    <col min="14605" max="14605" width="12.5" bestFit="1" customWidth="1"/>
    <col min="14606" max="14606" width="19" bestFit="1" customWidth="1"/>
    <col min="14607" max="14607" width="20.5" bestFit="1" customWidth="1"/>
    <col min="14608" max="14608" width="12.6640625" bestFit="1" customWidth="1"/>
    <col min="14609" max="14609" width="14.1640625" bestFit="1" customWidth="1"/>
    <col min="14610" max="14610" width="14.33203125" bestFit="1" customWidth="1"/>
    <col min="14611" max="14611" width="14" bestFit="1" customWidth="1"/>
    <col min="14612" max="14612" width="15" bestFit="1" customWidth="1"/>
    <col min="14613" max="14613" width="17" bestFit="1" customWidth="1"/>
    <col min="14614" max="14614" width="14.83203125" bestFit="1" customWidth="1"/>
    <col min="14615" max="14615" width="13" bestFit="1" customWidth="1"/>
    <col min="14616" max="14616" width="19.5" bestFit="1" customWidth="1"/>
    <col min="14617" max="14617" width="9.83203125" bestFit="1" customWidth="1"/>
    <col min="14618" max="14618" width="14.33203125" bestFit="1" customWidth="1"/>
    <col min="14619" max="14619" width="12.5" bestFit="1" customWidth="1"/>
    <col min="14620" max="14620" width="19" bestFit="1" customWidth="1"/>
    <col min="14621" max="14621" width="10.6640625" bestFit="1" customWidth="1"/>
    <col min="14622" max="14622" width="14.6640625" bestFit="1" customWidth="1"/>
    <col min="14623" max="14623" width="12.83203125" bestFit="1" customWidth="1"/>
    <col min="14624" max="14624" width="19.33203125" bestFit="1" customWidth="1"/>
    <col min="14625" max="14625" width="20.1640625" bestFit="1" customWidth="1"/>
    <col min="14626" max="14626" width="14" bestFit="1" customWidth="1"/>
    <col min="14627" max="14627" width="15.6640625" bestFit="1" customWidth="1"/>
    <col min="14628" max="14628" width="18.6640625" bestFit="1" customWidth="1"/>
    <col min="14629" max="14629" width="46" bestFit="1" customWidth="1"/>
    <col min="14630" max="14630" width="12.5" bestFit="1" customWidth="1"/>
    <col min="14631" max="14631" width="13.83203125" bestFit="1" customWidth="1"/>
    <col min="14632" max="14848" width="8.83203125" customWidth="1"/>
    <col min="14849" max="14849" width="36.5" bestFit="1" customWidth="1"/>
    <col min="14850" max="14850" width="7.5" bestFit="1" customWidth="1"/>
    <col min="14851" max="14851" width="7.6640625" bestFit="1" customWidth="1"/>
    <col min="14852" max="14852" width="9.5" bestFit="1" customWidth="1"/>
    <col min="14853" max="14853" width="4.33203125" bestFit="1" customWidth="1"/>
    <col min="14854" max="14854" width="4.5" bestFit="1" customWidth="1"/>
    <col min="14855" max="14855" width="20.6640625" bestFit="1" customWidth="1"/>
    <col min="14856" max="14856" width="5.5" customWidth="1"/>
    <col min="14857" max="14857" width="8.5" bestFit="1" customWidth="1"/>
    <col min="14858" max="14858" width="9.5" bestFit="1" customWidth="1"/>
    <col min="14859" max="14859" width="11.6640625" bestFit="1" customWidth="1"/>
    <col min="14860" max="14860" width="14.33203125" bestFit="1" customWidth="1"/>
    <col min="14861" max="14861" width="12.5" bestFit="1" customWidth="1"/>
    <col min="14862" max="14862" width="19" bestFit="1" customWidth="1"/>
    <col min="14863" max="14863" width="20.5" bestFit="1" customWidth="1"/>
    <col min="14864" max="14864" width="12.6640625" bestFit="1" customWidth="1"/>
    <col min="14865" max="14865" width="14.1640625" bestFit="1" customWidth="1"/>
    <col min="14866" max="14866" width="14.33203125" bestFit="1" customWidth="1"/>
    <col min="14867" max="14867" width="14" bestFit="1" customWidth="1"/>
    <col min="14868" max="14868" width="15" bestFit="1" customWidth="1"/>
    <col min="14869" max="14869" width="17" bestFit="1" customWidth="1"/>
    <col min="14870" max="14870" width="14.83203125" bestFit="1" customWidth="1"/>
    <col min="14871" max="14871" width="13" bestFit="1" customWidth="1"/>
    <col min="14872" max="14872" width="19.5" bestFit="1" customWidth="1"/>
    <col min="14873" max="14873" width="9.83203125" bestFit="1" customWidth="1"/>
    <col min="14874" max="14874" width="14.33203125" bestFit="1" customWidth="1"/>
    <col min="14875" max="14875" width="12.5" bestFit="1" customWidth="1"/>
    <col min="14876" max="14876" width="19" bestFit="1" customWidth="1"/>
    <col min="14877" max="14877" width="10.6640625" bestFit="1" customWidth="1"/>
    <col min="14878" max="14878" width="14.6640625" bestFit="1" customWidth="1"/>
    <col min="14879" max="14879" width="12.83203125" bestFit="1" customWidth="1"/>
    <col min="14880" max="14880" width="19.33203125" bestFit="1" customWidth="1"/>
    <col min="14881" max="14881" width="20.1640625" bestFit="1" customWidth="1"/>
    <col min="14882" max="14882" width="14" bestFit="1" customWidth="1"/>
    <col min="14883" max="14883" width="15.6640625" bestFit="1" customWidth="1"/>
    <col min="14884" max="14884" width="18.6640625" bestFit="1" customWidth="1"/>
    <col min="14885" max="14885" width="46" bestFit="1" customWidth="1"/>
    <col min="14886" max="14886" width="12.5" bestFit="1" customWidth="1"/>
    <col min="14887" max="14887" width="13.83203125" bestFit="1" customWidth="1"/>
    <col min="14888" max="15104" width="8.83203125" customWidth="1"/>
    <col min="15105" max="15105" width="36.5" bestFit="1" customWidth="1"/>
    <col min="15106" max="15106" width="7.5" bestFit="1" customWidth="1"/>
    <col min="15107" max="15107" width="7.6640625" bestFit="1" customWidth="1"/>
    <col min="15108" max="15108" width="9.5" bestFit="1" customWidth="1"/>
    <col min="15109" max="15109" width="4.33203125" bestFit="1" customWidth="1"/>
    <col min="15110" max="15110" width="4.5" bestFit="1" customWidth="1"/>
    <col min="15111" max="15111" width="20.6640625" bestFit="1" customWidth="1"/>
    <col min="15112" max="15112" width="5.5" customWidth="1"/>
    <col min="15113" max="15113" width="8.5" bestFit="1" customWidth="1"/>
    <col min="15114" max="15114" width="9.5" bestFit="1" customWidth="1"/>
    <col min="15115" max="15115" width="11.6640625" bestFit="1" customWidth="1"/>
    <col min="15116" max="15116" width="14.33203125" bestFit="1" customWidth="1"/>
    <col min="15117" max="15117" width="12.5" bestFit="1" customWidth="1"/>
    <col min="15118" max="15118" width="19" bestFit="1" customWidth="1"/>
    <col min="15119" max="15119" width="20.5" bestFit="1" customWidth="1"/>
    <col min="15120" max="15120" width="12.6640625" bestFit="1" customWidth="1"/>
    <col min="15121" max="15121" width="14.1640625" bestFit="1" customWidth="1"/>
    <col min="15122" max="15122" width="14.33203125" bestFit="1" customWidth="1"/>
    <col min="15123" max="15123" width="14" bestFit="1" customWidth="1"/>
    <col min="15124" max="15124" width="15" bestFit="1" customWidth="1"/>
    <col min="15125" max="15125" width="17" bestFit="1" customWidth="1"/>
    <col min="15126" max="15126" width="14.83203125" bestFit="1" customWidth="1"/>
    <col min="15127" max="15127" width="13" bestFit="1" customWidth="1"/>
    <col min="15128" max="15128" width="19.5" bestFit="1" customWidth="1"/>
    <col min="15129" max="15129" width="9.83203125" bestFit="1" customWidth="1"/>
    <col min="15130" max="15130" width="14.33203125" bestFit="1" customWidth="1"/>
    <col min="15131" max="15131" width="12.5" bestFit="1" customWidth="1"/>
    <col min="15132" max="15132" width="19" bestFit="1" customWidth="1"/>
    <col min="15133" max="15133" width="10.6640625" bestFit="1" customWidth="1"/>
    <col min="15134" max="15134" width="14.6640625" bestFit="1" customWidth="1"/>
    <col min="15135" max="15135" width="12.83203125" bestFit="1" customWidth="1"/>
    <col min="15136" max="15136" width="19.33203125" bestFit="1" customWidth="1"/>
    <col min="15137" max="15137" width="20.1640625" bestFit="1" customWidth="1"/>
    <col min="15138" max="15138" width="14" bestFit="1" customWidth="1"/>
    <col min="15139" max="15139" width="15.6640625" bestFit="1" customWidth="1"/>
    <col min="15140" max="15140" width="18.6640625" bestFit="1" customWidth="1"/>
    <col min="15141" max="15141" width="46" bestFit="1" customWidth="1"/>
    <col min="15142" max="15142" width="12.5" bestFit="1" customWidth="1"/>
    <col min="15143" max="15143" width="13.83203125" bestFit="1" customWidth="1"/>
    <col min="15144" max="15360" width="8.83203125" customWidth="1"/>
    <col min="15361" max="15361" width="36.5" bestFit="1" customWidth="1"/>
    <col min="15362" max="15362" width="7.5" bestFit="1" customWidth="1"/>
    <col min="15363" max="15363" width="7.6640625" bestFit="1" customWidth="1"/>
    <col min="15364" max="15364" width="9.5" bestFit="1" customWidth="1"/>
    <col min="15365" max="15365" width="4.33203125" bestFit="1" customWidth="1"/>
    <col min="15366" max="15366" width="4.5" bestFit="1" customWidth="1"/>
    <col min="15367" max="15367" width="20.6640625" bestFit="1" customWidth="1"/>
    <col min="15368" max="15368" width="5.5" customWidth="1"/>
    <col min="15369" max="15369" width="8.5" bestFit="1" customWidth="1"/>
    <col min="15370" max="15370" width="9.5" bestFit="1" customWidth="1"/>
    <col min="15371" max="15371" width="11.6640625" bestFit="1" customWidth="1"/>
    <col min="15372" max="15372" width="14.33203125" bestFit="1" customWidth="1"/>
    <col min="15373" max="15373" width="12.5" bestFit="1" customWidth="1"/>
    <col min="15374" max="15374" width="19" bestFit="1" customWidth="1"/>
    <col min="15375" max="15375" width="20.5" bestFit="1" customWidth="1"/>
    <col min="15376" max="15376" width="12.6640625" bestFit="1" customWidth="1"/>
    <col min="15377" max="15377" width="14.1640625" bestFit="1" customWidth="1"/>
    <col min="15378" max="15378" width="14.33203125" bestFit="1" customWidth="1"/>
    <col min="15379" max="15379" width="14" bestFit="1" customWidth="1"/>
    <col min="15380" max="15380" width="15" bestFit="1" customWidth="1"/>
    <col min="15381" max="15381" width="17" bestFit="1" customWidth="1"/>
    <col min="15382" max="15382" width="14.83203125" bestFit="1" customWidth="1"/>
    <col min="15383" max="15383" width="13" bestFit="1" customWidth="1"/>
    <col min="15384" max="15384" width="19.5" bestFit="1" customWidth="1"/>
    <col min="15385" max="15385" width="9.83203125" bestFit="1" customWidth="1"/>
    <col min="15386" max="15386" width="14.33203125" bestFit="1" customWidth="1"/>
    <col min="15387" max="15387" width="12.5" bestFit="1" customWidth="1"/>
    <col min="15388" max="15388" width="19" bestFit="1" customWidth="1"/>
    <col min="15389" max="15389" width="10.6640625" bestFit="1" customWidth="1"/>
    <col min="15390" max="15390" width="14.6640625" bestFit="1" customWidth="1"/>
    <col min="15391" max="15391" width="12.83203125" bestFit="1" customWidth="1"/>
    <col min="15392" max="15392" width="19.33203125" bestFit="1" customWidth="1"/>
    <col min="15393" max="15393" width="20.1640625" bestFit="1" customWidth="1"/>
    <col min="15394" max="15394" width="14" bestFit="1" customWidth="1"/>
    <col min="15395" max="15395" width="15.6640625" bestFit="1" customWidth="1"/>
    <col min="15396" max="15396" width="18.6640625" bestFit="1" customWidth="1"/>
    <col min="15397" max="15397" width="46" bestFit="1" customWidth="1"/>
    <col min="15398" max="15398" width="12.5" bestFit="1" customWidth="1"/>
    <col min="15399" max="15399" width="13.83203125" bestFit="1" customWidth="1"/>
    <col min="15400" max="15616" width="8.83203125" customWidth="1"/>
    <col min="15617" max="15617" width="36.5" bestFit="1" customWidth="1"/>
    <col min="15618" max="15618" width="7.5" bestFit="1" customWidth="1"/>
    <col min="15619" max="15619" width="7.6640625" bestFit="1" customWidth="1"/>
    <col min="15620" max="15620" width="9.5" bestFit="1" customWidth="1"/>
    <col min="15621" max="15621" width="4.33203125" bestFit="1" customWidth="1"/>
    <col min="15622" max="15622" width="4.5" bestFit="1" customWidth="1"/>
    <col min="15623" max="15623" width="20.6640625" bestFit="1" customWidth="1"/>
    <col min="15624" max="15624" width="5.5" customWidth="1"/>
    <col min="15625" max="15625" width="8.5" bestFit="1" customWidth="1"/>
    <col min="15626" max="15626" width="9.5" bestFit="1" customWidth="1"/>
    <col min="15627" max="15627" width="11.6640625" bestFit="1" customWidth="1"/>
    <col min="15628" max="15628" width="14.33203125" bestFit="1" customWidth="1"/>
    <col min="15629" max="15629" width="12.5" bestFit="1" customWidth="1"/>
    <col min="15630" max="15630" width="19" bestFit="1" customWidth="1"/>
    <col min="15631" max="15631" width="20.5" bestFit="1" customWidth="1"/>
    <col min="15632" max="15632" width="12.6640625" bestFit="1" customWidth="1"/>
    <col min="15633" max="15633" width="14.1640625" bestFit="1" customWidth="1"/>
    <col min="15634" max="15634" width="14.33203125" bestFit="1" customWidth="1"/>
    <col min="15635" max="15635" width="14" bestFit="1" customWidth="1"/>
    <col min="15636" max="15636" width="15" bestFit="1" customWidth="1"/>
    <col min="15637" max="15637" width="17" bestFit="1" customWidth="1"/>
    <col min="15638" max="15638" width="14.83203125" bestFit="1" customWidth="1"/>
    <col min="15639" max="15639" width="13" bestFit="1" customWidth="1"/>
    <col min="15640" max="15640" width="19.5" bestFit="1" customWidth="1"/>
    <col min="15641" max="15641" width="9.83203125" bestFit="1" customWidth="1"/>
    <col min="15642" max="15642" width="14.33203125" bestFit="1" customWidth="1"/>
    <col min="15643" max="15643" width="12.5" bestFit="1" customWidth="1"/>
    <col min="15644" max="15644" width="19" bestFit="1" customWidth="1"/>
    <col min="15645" max="15645" width="10.6640625" bestFit="1" customWidth="1"/>
    <col min="15646" max="15646" width="14.6640625" bestFit="1" customWidth="1"/>
    <col min="15647" max="15647" width="12.83203125" bestFit="1" customWidth="1"/>
    <col min="15648" max="15648" width="19.33203125" bestFit="1" customWidth="1"/>
    <col min="15649" max="15649" width="20.1640625" bestFit="1" customWidth="1"/>
    <col min="15650" max="15650" width="14" bestFit="1" customWidth="1"/>
    <col min="15651" max="15651" width="15.6640625" bestFit="1" customWidth="1"/>
    <col min="15652" max="15652" width="18.6640625" bestFit="1" customWidth="1"/>
    <col min="15653" max="15653" width="46" bestFit="1" customWidth="1"/>
    <col min="15654" max="15654" width="12.5" bestFit="1" customWidth="1"/>
    <col min="15655" max="15655" width="13.83203125" bestFit="1" customWidth="1"/>
    <col min="15656" max="15872" width="8.83203125" customWidth="1"/>
    <col min="15873" max="15873" width="36.5" bestFit="1" customWidth="1"/>
    <col min="15874" max="15874" width="7.5" bestFit="1" customWidth="1"/>
    <col min="15875" max="15875" width="7.6640625" bestFit="1" customWidth="1"/>
    <col min="15876" max="15876" width="9.5" bestFit="1" customWidth="1"/>
    <col min="15877" max="15877" width="4.33203125" bestFit="1" customWidth="1"/>
    <col min="15878" max="15878" width="4.5" bestFit="1" customWidth="1"/>
    <col min="15879" max="15879" width="20.6640625" bestFit="1" customWidth="1"/>
    <col min="15880" max="15880" width="5.5" customWidth="1"/>
    <col min="15881" max="15881" width="8.5" bestFit="1" customWidth="1"/>
    <col min="15882" max="15882" width="9.5" bestFit="1" customWidth="1"/>
    <col min="15883" max="15883" width="11.6640625" bestFit="1" customWidth="1"/>
    <col min="15884" max="15884" width="14.33203125" bestFit="1" customWidth="1"/>
    <col min="15885" max="15885" width="12.5" bestFit="1" customWidth="1"/>
    <col min="15886" max="15886" width="19" bestFit="1" customWidth="1"/>
    <col min="15887" max="15887" width="20.5" bestFit="1" customWidth="1"/>
    <col min="15888" max="15888" width="12.6640625" bestFit="1" customWidth="1"/>
    <col min="15889" max="15889" width="14.1640625" bestFit="1" customWidth="1"/>
    <col min="15890" max="15890" width="14.33203125" bestFit="1" customWidth="1"/>
    <col min="15891" max="15891" width="14" bestFit="1" customWidth="1"/>
    <col min="15892" max="15892" width="15" bestFit="1" customWidth="1"/>
    <col min="15893" max="15893" width="17" bestFit="1" customWidth="1"/>
    <col min="15894" max="15894" width="14.83203125" bestFit="1" customWidth="1"/>
    <col min="15895" max="15895" width="13" bestFit="1" customWidth="1"/>
    <col min="15896" max="15896" width="19.5" bestFit="1" customWidth="1"/>
    <col min="15897" max="15897" width="9.83203125" bestFit="1" customWidth="1"/>
    <col min="15898" max="15898" width="14.33203125" bestFit="1" customWidth="1"/>
    <col min="15899" max="15899" width="12.5" bestFit="1" customWidth="1"/>
    <col min="15900" max="15900" width="19" bestFit="1" customWidth="1"/>
    <col min="15901" max="15901" width="10.6640625" bestFit="1" customWidth="1"/>
    <col min="15902" max="15902" width="14.6640625" bestFit="1" customWidth="1"/>
    <col min="15903" max="15903" width="12.83203125" bestFit="1" customWidth="1"/>
    <col min="15904" max="15904" width="19.33203125" bestFit="1" customWidth="1"/>
    <col min="15905" max="15905" width="20.1640625" bestFit="1" customWidth="1"/>
    <col min="15906" max="15906" width="14" bestFit="1" customWidth="1"/>
    <col min="15907" max="15907" width="15.6640625" bestFit="1" customWidth="1"/>
    <col min="15908" max="15908" width="18.6640625" bestFit="1" customWidth="1"/>
    <col min="15909" max="15909" width="46" bestFit="1" customWidth="1"/>
    <col min="15910" max="15910" width="12.5" bestFit="1" customWidth="1"/>
    <col min="15911" max="15911" width="13.83203125" bestFit="1" customWidth="1"/>
    <col min="15912" max="16128" width="8.83203125" customWidth="1"/>
    <col min="16129" max="16129" width="36.5" bestFit="1" customWidth="1"/>
    <col min="16130" max="16130" width="7.5" bestFit="1" customWidth="1"/>
    <col min="16131" max="16131" width="7.6640625" bestFit="1" customWidth="1"/>
    <col min="16132" max="16132" width="9.5" bestFit="1" customWidth="1"/>
    <col min="16133" max="16133" width="4.33203125" bestFit="1" customWidth="1"/>
    <col min="16134" max="16134" width="4.5" bestFit="1" customWidth="1"/>
    <col min="16135" max="16135" width="20.6640625" bestFit="1" customWidth="1"/>
    <col min="16136" max="16136" width="5.5" customWidth="1"/>
    <col min="16137" max="16137" width="8.5" bestFit="1" customWidth="1"/>
    <col min="16138" max="16138" width="9.5" bestFit="1" customWidth="1"/>
    <col min="16139" max="16139" width="11.6640625" bestFit="1" customWidth="1"/>
    <col min="16140" max="16140" width="14.33203125" bestFit="1" customWidth="1"/>
    <col min="16141" max="16141" width="12.5" bestFit="1" customWidth="1"/>
    <col min="16142" max="16142" width="19" bestFit="1" customWidth="1"/>
    <col min="16143" max="16143" width="20.5" bestFit="1" customWidth="1"/>
    <col min="16144" max="16144" width="12.6640625" bestFit="1" customWidth="1"/>
    <col min="16145" max="16145" width="14.1640625" bestFit="1" customWidth="1"/>
    <col min="16146" max="16146" width="14.33203125" bestFit="1" customWidth="1"/>
    <col min="16147" max="16147" width="14" bestFit="1" customWidth="1"/>
    <col min="16148" max="16148" width="15" bestFit="1" customWidth="1"/>
    <col min="16149" max="16149" width="17" bestFit="1" customWidth="1"/>
    <col min="16150" max="16150" width="14.83203125" bestFit="1" customWidth="1"/>
    <col min="16151" max="16151" width="13" bestFit="1" customWidth="1"/>
    <col min="16152" max="16152" width="19.5" bestFit="1" customWidth="1"/>
    <col min="16153" max="16153" width="9.83203125" bestFit="1" customWidth="1"/>
    <col min="16154" max="16154" width="14.33203125" bestFit="1" customWidth="1"/>
    <col min="16155" max="16155" width="12.5" bestFit="1" customWidth="1"/>
    <col min="16156" max="16156" width="19" bestFit="1" customWidth="1"/>
    <col min="16157" max="16157" width="10.6640625" bestFit="1" customWidth="1"/>
    <col min="16158" max="16158" width="14.6640625" bestFit="1" customWidth="1"/>
    <col min="16159" max="16159" width="12.83203125" bestFit="1" customWidth="1"/>
    <col min="16160" max="16160" width="19.33203125" bestFit="1" customWidth="1"/>
    <col min="16161" max="16161" width="20.1640625" bestFit="1" customWidth="1"/>
    <col min="16162" max="16162" width="14" bestFit="1" customWidth="1"/>
    <col min="16163" max="16163" width="15.6640625" bestFit="1" customWidth="1"/>
    <col min="16164" max="16164" width="18.6640625" bestFit="1" customWidth="1"/>
    <col min="16165" max="16165" width="46" bestFit="1" customWidth="1"/>
    <col min="16166" max="16166" width="12.5" bestFit="1" customWidth="1"/>
    <col min="16167" max="16167" width="13.83203125" bestFit="1" customWidth="1"/>
    <col min="16168" max="16384" width="8.83203125" customWidth="1"/>
  </cols>
  <sheetData>
    <row r="1" spans="1:36" x14ac:dyDescent="0.2">
      <c r="A1" s="1" t="s">
        <v>0</v>
      </c>
      <c r="B1" s="2" t="s">
        <v>1</v>
      </c>
      <c r="C1" s="3" t="s">
        <v>2</v>
      </c>
      <c r="D1" s="4" t="s">
        <v>3</v>
      </c>
      <c r="E1" s="5" t="s">
        <v>4</v>
      </c>
      <c r="F1" s="5" t="s">
        <v>5</v>
      </c>
      <c r="G1" s="5" t="s">
        <v>6</v>
      </c>
      <c r="H1" s="5" t="s">
        <v>7</v>
      </c>
      <c r="I1" s="6" t="s">
        <v>8</v>
      </c>
      <c r="J1" s="7" t="s">
        <v>9</v>
      </c>
      <c r="K1" s="2" t="s">
        <v>10</v>
      </c>
      <c r="L1" s="8" t="s">
        <v>11</v>
      </c>
      <c r="M1" s="8" t="s">
        <v>12</v>
      </c>
      <c r="N1" s="8" t="s">
        <v>13</v>
      </c>
      <c r="O1" s="8" t="s">
        <v>14</v>
      </c>
      <c r="P1" s="1" t="s">
        <v>15</v>
      </c>
      <c r="Q1" s="9" t="s">
        <v>16</v>
      </c>
      <c r="R1" s="8" t="s">
        <v>17</v>
      </c>
      <c r="S1" s="8" t="s">
        <v>18</v>
      </c>
      <c r="T1" s="8" t="s">
        <v>19</v>
      </c>
      <c r="U1" s="1" t="s">
        <v>20</v>
      </c>
      <c r="V1" s="9" t="s">
        <v>21</v>
      </c>
      <c r="W1" s="8" t="s">
        <v>22</v>
      </c>
      <c r="X1" s="8" t="s">
        <v>23</v>
      </c>
      <c r="Y1" s="1" t="s">
        <v>24</v>
      </c>
      <c r="Z1" s="9" t="s">
        <v>25</v>
      </c>
      <c r="AA1" s="8" t="s">
        <v>26</v>
      </c>
      <c r="AB1" s="8" t="s">
        <v>27</v>
      </c>
      <c r="AC1" s="1" t="s">
        <v>28</v>
      </c>
      <c r="AD1" s="9" t="s">
        <v>29</v>
      </c>
      <c r="AE1" s="8" t="s">
        <v>30</v>
      </c>
      <c r="AF1" s="8" t="s">
        <v>31</v>
      </c>
      <c r="AG1" s="1" t="s">
        <v>32</v>
      </c>
      <c r="AH1" s="9" t="s">
        <v>33</v>
      </c>
      <c r="AI1" s="8" t="s">
        <v>34</v>
      </c>
      <c r="AJ1" s="8" t="s">
        <v>35</v>
      </c>
    </row>
    <row r="2" spans="1:36" x14ac:dyDescent="0.2">
      <c r="A2">
        <v>-384</v>
      </c>
      <c r="B2" s="10" t="s">
        <v>36</v>
      </c>
      <c r="D2" s="12" t="s">
        <v>37</v>
      </c>
      <c r="E2" s="13">
        <v>2</v>
      </c>
      <c r="F2" s="13">
        <v>12</v>
      </c>
      <c r="G2" s="13">
        <f t="shared" ref="G2:G65" si="0">INDEX(A$1502:A$1513,F2)</f>
        <v>334</v>
      </c>
      <c r="H2" s="13">
        <v>385</v>
      </c>
      <c r="I2" s="14">
        <f>($E2+$G2)/365-$H2</f>
        <v>-384.0794520547945</v>
      </c>
      <c r="J2" s="15" t="s">
        <v>38</v>
      </c>
      <c r="P2" s="1">
        <v>57</v>
      </c>
      <c r="Q2" s="9">
        <v>57</v>
      </c>
      <c r="R2" s="8">
        <f>1000/Q2</f>
        <v>17.543859649122808</v>
      </c>
      <c r="S2" s="8">
        <f>8.33*R2</f>
        <v>146.14035087719299</v>
      </c>
      <c r="T2" s="8">
        <f>S2*1.33</f>
        <v>194.36666666666667</v>
      </c>
    </row>
    <row r="3" spans="1:36" x14ac:dyDescent="0.2">
      <c r="A3">
        <v>-384</v>
      </c>
      <c r="B3" s="10" t="s">
        <v>36</v>
      </c>
      <c r="C3" s="11" t="s">
        <v>39</v>
      </c>
      <c r="D3" s="12" t="s">
        <v>37</v>
      </c>
      <c r="E3" s="13">
        <v>2</v>
      </c>
      <c r="F3" s="13">
        <v>12</v>
      </c>
      <c r="G3" s="13">
        <f t="shared" si="0"/>
        <v>334</v>
      </c>
      <c r="H3" s="13">
        <v>385</v>
      </c>
      <c r="I3" s="14">
        <f t="shared" ref="I3:I66" si="1">($E3+$G3)/365-$H3</f>
        <v>-384.0794520547945</v>
      </c>
      <c r="J3" s="15" t="s">
        <v>40</v>
      </c>
      <c r="K3" s="10">
        <v>27</v>
      </c>
      <c r="L3" s="16">
        <v>27</v>
      </c>
      <c r="M3" s="16">
        <f>1000/L3</f>
        <v>37.037037037037038</v>
      </c>
      <c r="N3" s="16">
        <f>8.33*M3</f>
        <v>308.51851851851853</v>
      </c>
      <c r="O3" s="16">
        <f>1.613*N3</f>
        <v>497.64037037037036</v>
      </c>
      <c r="T3" s="8"/>
      <c r="U3" t="s">
        <v>41</v>
      </c>
      <c r="AG3" s="18" t="s">
        <v>41</v>
      </c>
    </row>
    <row r="4" spans="1:36" x14ac:dyDescent="0.2">
      <c r="A4">
        <v>-384</v>
      </c>
      <c r="B4" s="10" t="s">
        <v>36</v>
      </c>
      <c r="C4" s="11" t="s">
        <v>42</v>
      </c>
      <c r="D4" s="12" t="s">
        <v>43</v>
      </c>
      <c r="E4" s="13">
        <v>12</v>
      </c>
      <c r="F4" s="13">
        <v>12</v>
      </c>
      <c r="G4" s="13">
        <f t="shared" si="0"/>
        <v>334</v>
      </c>
      <c r="H4" s="13">
        <v>385</v>
      </c>
      <c r="I4" s="14">
        <f t="shared" si="1"/>
        <v>-384.05205479452053</v>
      </c>
      <c r="J4" s="15" t="s">
        <v>44</v>
      </c>
      <c r="L4" s="19">
        <v>27</v>
      </c>
      <c r="M4" s="19">
        <v>37.04</v>
      </c>
      <c r="N4" s="19">
        <v>308.52</v>
      </c>
      <c r="O4" s="19">
        <v>497.64</v>
      </c>
      <c r="T4" s="8"/>
    </row>
    <row r="5" spans="1:36" x14ac:dyDescent="0.2">
      <c r="A5">
        <v>-384</v>
      </c>
      <c r="B5" s="10" t="s">
        <v>36</v>
      </c>
      <c r="C5" s="11" t="s">
        <v>45</v>
      </c>
      <c r="D5" s="12" t="s">
        <v>46</v>
      </c>
      <c r="E5" s="13">
        <v>22</v>
      </c>
      <c r="F5" s="13">
        <v>12</v>
      </c>
      <c r="G5" s="13">
        <f t="shared" si="0"/>
        <v>334</v>
      </c>
      <c r="H5" s="13">
        <v>385</v>
      </c>
      <c r="I5" s="14">
        <f t="shared" si="1"/>
        <v>-384.02465753424656</v>
      </c>
      <c r="J5" s="15" t="s">
        <v>38</v>
      </c>
      <c r="K5" s="10">
        <v>30</v>
      </c>
      <c r="L5" s="16">
        <v>30</v>
      </c>
      <c r="M5" s="16">
        <f>1000/L5</f>
        <v>33.333333333333336</v>
      </c>
      <c r="N5" s="16">
        <f>8.33*M5</f>
        <v>277.66666666666669</v>
      </c>
      <c r="O5" s="16">
        <f>1.613*N5</f>
        <v>447.87633333333338</v>
      </c>
      <c r="T5" s="8"/>
    </row>
    <row r="6" spans="1:36" x14ac:dyDescent="0.2">
      <c r="A6">
        <v>-382</v>
      </c>
      <c r="B6" s="10" t="s">
        <v>47</v>
      </c>
      <c r="D6" s="12" t="s">
        <v>48</v>
      </c>
      <c r="E6" s="13">
        <v>17</v>
      </c>
      <c r="F6" s="13">
        <v>5</v>
      </c>
      <c r="G6" s="13">
        <f t="shared" si="0"/>
        <v>120</v>
      </c>
      <c r="H6" s="13">
        <v>383</v>
      </c>
      <c r="I6" s="14">
        <f t="shared" si="1"/>
        <v>-382.62465753424658</v>
      </c>
      <c r="J6" s="15" t="s">
        <v>49</v>
      </c>
      <c r="T6" s="8"/>
      <c r="U6" s="1">
        <v>42</v>
      </c>
      <c r="V6" s="9">
        <v>42</v>
      </c>
      <c r="W6" s="8">
        <f>1000/V6</f>
        <v>23.80952380952381</v>
      </c>
      <c r="X6" s="8">
        <f>8.33*W6</f>
        <v>198.33333333333334</v>
      </c>
      <c r="Y6" s="1">
        <v>21</v>
      </c>
      <c r="Z6" s="9">
        <v>21</v>
      </c>
      <c r="AA6" s="8">
        <f>1000/Z6</f>
        <v>47.61904761904762</v>
      </c>
      <c r="AB6" s="8">
        <f>8.33*AA6</f>
        <v>396.66666666666669</v>
      </c>
      <c r="AC6" s="1">
        <v>7.5</v>
      </c>
      <c r="AD6" s="9">
        <v>7.5</v>
      </c>
      <c r="AE6" s="8">
        <f>1000/AD6</f>
        <v>133.33333333333334</v>
      </c>
      <c r="AF6" s="8">
        <f>8.33*AE6</f>
        <v>1110.6666666666667</v>
      </c>
    </row>
    <row r="7" spans="1:36" x14ac:dyDescent="0.2">
      <c r="A7">
        <v>-382</v>
      </c>
      <c r="B7" s="10" t="s">
        <v>47</v>
      </c>
      <c r="C7" s="11" t="s">
        <v>39</v>
      </c>
      <c r="D7" s="12" t="s">
        <v>48</v>
      </c>
      <c r="E7" s="13">
        <v>17</v>
      </c>
      <c r="F7" s="13">
        <v>5</v>
      </c>
      <c r="G7" s="13">
        <f t="shared" si="0"/>
        <v>120</v>
      </c>
      <c r="H7" s="13">
        <v>383</v>
      </c>
      <c r="I7" s="14">
        <f t="shared" si="1"/>
        <v>-382.62465753424658</v>
      </c>
      <c r="J7" s="15" t="s">
        <v>50</v>
      </c>
      <c r="K7" s="10" t="s">
        <v>41</v>
      </c>
      <c r="P7">
        <v>87</v>
      </c>
      <c r="Q7" s="17">
        <v>87</v>
      </c>
      <c r="R7" s="16">
        <f>1000/Q7</f>
        <v>11.494252873563218</v>
      </c>
      <c r="S7" s="16">
        <f>8.33*R7</f>
        <v>95.747126436781599</v>
      </c>
      <c r="T7" s="16">
        <f>S7*1.33</f>
        <v>127.34367816091954</v>
      </c>
      <c r="V7" s="9"/>
      <c r="W7" s="8"/>
      <c r="X7" s="8"/>
      <c r="Y7" s="1"/>
      <c r="Z7" s="9"/>
      <c r="AA7" s="8"/>
      <c r="AB7" s="8"/>
      <c r="AE7" s="8"/>
      <c r="AF7" s="8"/>
    </row>
    <row r="8" spans="1:36" x14ac:dyDescent="0.2">
      <c r="A8">
        <v>-382</v>
      </c>
      <c r="B8" s="10" t="s">
        <v>47</v>
      </c>
      <c r="C8" s="11" t="s">
        <v>42</v>
      </c>
      <c r="D8" s="12" t="s">
        <v>51</v>
      </c>
      <c r="E8" s="13">
        <v>27</v>
      </c>
      <c r="F8" s="13">
        <v>5</v>
      </c>
      <c r="G8" s="13">
        <f t="shared" si="0"/>
        <v>120</v>
      </c>
      <c r="H8" s="13">
        <v>383</v>
      </c>
      <c r="I8" s="14">
        <f t="shared" si="1"/>
        <v>-382.59726027397261</v>
      </c>
      <c r="J8" s="15" t="s">
        <v>52</v>
      </c>
      <c r="Q8" s="20">
        <v>87</v>
      </c>
      <c r="R8" s="19">
        <v>11.49</v>
      </c>
      <c r="S8" s="19">
        <v>95.75</v>
      </c>
      <c r="T8" s="19">
        <f>S8*1.33</f>
        <v>127.34750000000001</v>
      </c>
      <c r="V8" s="9"/>
      <c r="W8" s="8"/>
      <c r="X8" s="8"/>
      <c r="Y8" s="1"/>
      <c r="Z8" s="9"/>
      <c r="AA8" s="8"/>
      <c r="AB8" s="8"/>
      <c r="AE8" s="8"/>
      <c r="AF8" s="8"/>
    </row>
    <row r="9" spans="1:36" x14ac:dyDescent="0.2">
      <c r="A9">
        <v>-382</v>
      </c>
      <c r="B9" s="10" t="s">
        <v>47</v>
      </c>
      <c r="C9" s="11" t="s">
        <v>45</v>
      </c>
      <c r="D9" s="12" t="s">
        <v>53</v>
      </c>
      <c r="E9" s="13">
        <v>6</v>
      </c>
      <c r="F9" s="13">
        <v>6</v>
      </c>
      <c r="G9" s="13">
        <f t="shared" si="0"/>
        <v>151</v>
      </c>
      <c r="H9" s="13">
        <v>383</v>
      </c>
      <c r="I9" s="14">
        <f t="shared" si="1"/>
        <v>-382.56986301369864</v>
      </c>
      <c r="J9" s="15" t="s">
        <v>49</v>
      </c>
      <c r="P9">
        <v>96</v>
      </c>
      <c r="Q9" s="17">
        <v>96</v>
      </c>
      <c r="R9" s="16">
        <f>1000/Q9</f>
        <v>10.416666666666666</v>
      </c>
      <c r="S9" s="16">
        <f>8.33*R9</f>
        <v>86.770833333333329</v>
      </c>
      <c r="T9" s="16">
        <f>S9*1.33</f>
        <v>115.40520833333333</v>
      </c>
      <c r="V9" s="9"/>
      <c r="W9" s="8"/>
      <c r="X9" s="8"/>
      <c r="Y9" s="1"/>
      <c r="Z9" s="9"/>
      <c r="AA9" s="8"/>
      <c r="AB9" s="8"/>
      <c r="AE9" s="8"/>
      <c r="AF9" s="8"/>
    </row>
    <row r="10" spans="1:36" x14ac:dyDescent="0.2">
      <c r="A10">
        <v>-381</v>
      </c>
      <c r="B10" s="10" t="s">
        <v>54</v>
      </c>
      <c r="C10" s="11" t="s">
        <v>39</v>
      </c>
      <c r="D10" s="12" t="s">
        <v>55</v>
      </c>
      <c r="E10" s="13">
        <v>8</v>
      </c>
      <c r="F10" s="13">
        <v>4</v>
      </c>
      <c r="G10" s="13">
        <f t="shared" si="0"/>
        <v>90</v>
      </c>
      <c r="H10" s="13">
        <v>382</v>
      </c>
      <c r="I10" s="14">
        <f t="shared" si="1"/>
        <v>-381.73150684931505</v>
      </c>
      <c r="J10" s="15" t="s">
        <v>56</v>
      </c>
      <c r="K10" s="10" t="s">
        <v>57</v>
      </c>
      <c r="L10" s="19">
        <v>32</v>
      </c>
      <c r="M10" s="19">
        <f>1000/L10</f>
        <v>31.25</v>
      </c>
      <c r="N10" s="19">
        <f>8.33*M10</f>
        <v>260.3125</v>
      </c>
      <c r="O10" s="19">
        <f>1.613*N10</f>
        <v>419.88406249999997</v>
      </c>
      <c r="P10" t="s">
        <v>41</v>
      </c>
      <c r="T10" s="8"/>
      <c r="V10" s="9"/>
      <c r="W10" s="8"/>
      <c r="X10" s="8"/>
      <c r="Y10" s="1"/>
      <c r="Z10" s="9"/>
      <c r="AA10" s="8"/>
      <c r="AB10" s="8"/>
      <c r="AE10" s="8"/>
      <c r="AF10" s="8"/>
    </row>
    <row r="11" spans="1:36" x14ac:dyDescent="0.2">
      <c r="A11">
        <v>-381</v>
      </c>
      <c r="B11" s="10" t="s">
        <v>54</v>
      </c>
      <c r="C11" s="11" t="s">
        <v>42</v>
      </c>
      <c r="D11" s="12" t="s">
        <v>58</v>
      </c>
      <c r="E11" s="13">
        <v>18</v>
      </c>
      <c r="F11" s="13">
        <v>4</v>
      </c>
      <c r="G11" s="13">
        <f t="shared" si="0"/>
        <v>90</v>
      </c>
      <c r="H11" s="13">
        <v>382</v>
      </c>
      <c r="I11" s="14">
        <f t="shared" si="1"/>
        <v>-381.70410958904108</v>
      </c>
      <c r="J11" s="15" t="s">
        <v>59</v>
      </c>
      <c r="L11" s="19">
        <v>32</v>
      </c>
      <c r="M11" s="19">
        <v>31.25</v>
      </c>
      <c r="N11" s="19">
        <v>260.31</v>
      </c>
      <c r="O11" s="19">
        <v>419.88</v>
      </c>
      <c r="T11" s="8"/>
      <c r="V11" s="9"/>
      <c r="W11" s="8"/>
      <c r="X11" s="8"/>
      <c r="Y11" s="1"/>
      <c r="Z11" s="9"/>
      <c r="AA11" s="8"/>
      <c r="AB11" s="8"/>
      <c r="AE11" s="8"/>
      <c r="AF11" s="8"/>
    </row>
    <row r="12" spans="1:36" x14ac:dyDescent="0.2">
      <c r="A12">
        <v>-381</v>
      </c>
      <c r="B12" s="10" t="s">
        <v>60</v>
      </c>
      <c r="C12" s="11" t="s">
        <v>45</v>
      </c>
      <c r="D12" s="15" t="s">
        <v>61</v>
      </c>
      <c r="E12" s="13">
        <v>28</v>
      </c>
      <c r="F12" s="13">
        <v>4</v>
      </c>
      <c r="G12" s="13">
        <f t="shared" si="0"/>
        <v>90</v>
      </c>
      <c r="H12" s="13">
        <v>382</v>
      </c>
      <c r="I12" s="14">
        <f t="shared" si="1"/>
        <v>-381.67671232876711</v>
      </c>
      <c r="J12" s="15" t="s">
        <v>62</v>
      </c>
      <c r="K12" s="10">
        <v>36</v>
      </c>
      <c r="L12" s="16">
        <v>36</v>
      </c>
      <c r="M12" s="16">
        <f>1000/L12</f>
        <v>27.777777777777779</v>
      </c>
      <c r="N12" s="16">
        <f>8.33*M12</f>
        <v>231.38888888888889</v>
      </c>
      <c r="O12" s="16">
        <f>1.613*N12</f>
        <v>373.23027777777776</v>
      </c>
      <c r="T12" s="8"/>
      <c r="V12" s="9"/>
      <c r="W12" s="8"/>
      <c r="X12" s="8"/>
      <c r="Y12" s="1"/>
      <c r="Z12" s="9"/>
      <c r="AA12" s="8"/>
      <c r="AB12" s="8"/>
      <c r="AE12" s="8"/>
      <c r="AF12" s="8"/>
    </row>
    <row r="13" spans="1:36" x14ac:dyDescent="0.2">
      <c r="A13">
        <v>-381</v>
      </c>
      <c r="B13" s="10" t="s">
        <v>47</v>
      </c>
      <c r="D13" s="15" t="s">
        <v>63</v>
      </c>
      <c r="E13" s="13">
        <v>7</v>
      </c>
      <c r="F13" s="13">
        <v>5</v>
      </c>
      <c r="G13" s="13">
        <f t="shared" si="0"/>
        <v>120</v>
      </c>
      <c r="H13" s="13">
        <v>382</v>
      </c>
      <c r="I13" s="14">
        <f t="shared" si="1"/>
        <v>-381.65205479452055</v>
      </c>
      <c r="J13" s="15" t="s">
        <v>64</v>
      </c>
      <c r="T13" s="8"/>
      <c r="V13" s="9"/>
      <c r="W13" s="8"/>
      <c r="X13" s="8"/>
      <c r="Y13" s="1"/>
      <c r="Z13" s="9"/>
      <c r="AA13" s="8"/>
      <c r="AB13" s="8"/>
      <c r="AC13" s="1">
        <v>15</v>
      </c>
      <c r="AD13" s="9">
        <v>15</v>
      </c>
      <c r="AE13" s="8">
        <f>1000/AD13</f>
        <v>66.666666666666671</v>
      </c>
      <c r="AF13" s="8">
        <f>8.33*AE13</f>
        <v>555.33333333333337</v>
      </c>
    </row>
    <row r="14" spans="1:36" x14ac:dyDescent="0.2">
      <c r="A14">
        <v>-381</v>
      </c>
      <c r="B14" s="10" t="s">
        <v>65</v>
      </c>
      <c r="D14" s="15" t="s">
        <v>66</v>
      </c>
      <c r="E14" s="13">
        <v>5</v>
      </c>
      <c r="F14" s="13">
        <v>6</v>
      </c>
      <c r="G14" s="13">
        <f t="shared" si="0"/>
        <v>151</v>
      </c>
      <c r="H14" s="13">
        <v>382</v>
      </c>
      <c r="I14" s="14">
        <f t="shared" si="1"/>
        <v>-381.57260273972605</v>
      </c>
      <c r="J14" s="15" t="s">
        <v>67</v>
      </c>
      <c r="K14" s="2">
        <v>44</v>
      </c>
      <c r="L14" s="8">
        <v>44</v>
      </c>
      <c r="M14" s="8">
        <f>1000/L14</f>
        <v>22.727272727272727</v>
      </c>
      <c r="N14" s="8">
        <f>8.33*M14</f>
        <v>189.31818181818181</v>
      </c>
      <c r="O14" s="8">
        <f>1.613*N14</f>
        <v>305.37022727272728</v>
      </c>
      <c r="T14" s="8"/>
      <c r="U14" s="1">
        <v>66</v>
      </c>
      <c r="V14" s="9">
        <v>66</v>
      </c>
      <c r="W14" s="8">
        <f>1000/V14</f>
        <v>15.151515151515152</v>
      </c>
      <c r="X14" s="8">
        <f>8.33*W14</f>
        <v>126.21212121212122</v>
      </c>
      <c r="Y14" s="1"/>
      <c r="Z14" s="9"/>
      <c r="AA14" s="8"/>
      <c r="AB14" s="8"/>
      <c r="AE14" s="8"/>
      <c r="AF14" s="8"/>
      <c r="AG14" s="1">
        <v>2</v>
      </c>
      <c r="AH14" s="9">
        <v>2</v>
      </c>
      <c r="AI14" s="8">
        <f>1/AH14</f>
        <v>0.5</v>
      </c>
      <c r="AJ14" s="8">
        <f>8.33*AI14</f>
        <v>4.165</v>
      </c>
    </row>
    <row r="15" spans="1:36" x14ac:dyDescent="0.2">
      <c r="A15">
        <v>-381</v>
      </c>
      <c r="B15" s="10" t="s">
        <v>65</v>
      </c>
      <c r="C15" s="11" t="s">
        <v>39</v>
      </c>
      <c r="D15" s="15" t="s">
        <v>66</v>
      </c>
      <c r="E15" s="13">
        <v>5</v>
      </c>
      <c r="F15" s="13">
        <v>6</v>
      </c>
      <c r="G15" s="13">
        <f t="shared" si="0"/>
        <v>151</v>
      </c>
      <c r="H15" s="13">
        <v>382</v>
      </c>
      <c r="I15" s="14">
        <f t="shared" si="1"/>
        <v>-381.57260273972605</v>
      </c>
      <c r="J15" s="15" t="s">
        <v>68</v>
      </c>
      <c r="P15">
        <v>105</v>
      </c>
      <c r="Q15" s="17">
        <v>105</v>
      </c>
      <c r="R15" s="16">
        <f>1000/Q15</f>
        <v>9.5238095238095237</v>
      </c>
      <c r="S15" s="16">
        <f>8.33*R15</f>
        <v>79.333333333333329</v>
      </c>
      <c r="T15" s="16">
        <f>S15*1.33</f>
        <v>105.51333333333334</v>
      </c>
      <c r="V15" s="9"/>
      <c r="W15" s="8"/>
      <c r="X15" s="8"/>
      <c r="Y15" s="1"/>
      <c r="Z15" s="9"/>
      <c r="AA15" s="8"/>
      <c r="AB15" s="8"/>
      <c r="AE15" s="8"/>
      <c r="AF15" s="8"/>
    </row>
    <row r="16" spans="1:36" x14ac:dyDescent="0.2">
      <c r="A16">
        <v>-381</v>
      </c>
      <c r="B16" s="10" t="s">
        <v>65</v>
      </c>
      <c r="C16" s="11" t="s">
        <v>42</v>
      </c>
      <c r="D16" s="15" t="s">
        <v>69</v>
      </c>
      <c r="E16" s="13">
        <v>15</v>
      </c>
      <c r="F16" s="13">
        <v>6</v>
      </c>
      <c r="G16" s="13">
        <f t="shared" si="0"/>
        <v>151</v>
      </c>
      <c r="H16" s="13">
        <v>382</v>
      </c>
      <c r="I16" s="14">
        <f t="shared" si="1"/>
        <v>-381.54520547945208</v>
      </c>
      <c r="J16" s="15" t="s">
        <v>70</v>
      </c>
      <c r="Q16" s="20">
        <v>105</v>
      </c>
      <c r="R16" s="19">
        <v>9.52</v>
      </c>
      <c r="S16" s="19">
        <v>79.33</v>
      </c>
      <c r="T16" s="19">
        <f>S16*1.33</f>
        <v>105.5089</v>
      </c>
      <c r="V16" s="9"/>
      <c r="W16" s="8"/>
      <c r="X16" s="8"/>
      <c r="Y16" s="1"/>
      <c r="Z16" s="9"/>
      <c r="AA16" s="8"/>
      <c r="AB16" s="8"/>
      <c r="AE16" s="8"/>
      <c r="AF16" s="8"/>
    </row>
    <row r="17" spans="1:36" x14ac:dyDescent="0.2">
      <c r="A17">
        <v>-381</v>
      </c>
      <c r="B17" s="10" t="s">
        <v>65</v>
      </c>
      <c r="C17" s="11" t="s">
        <v>45</v>
      </c>
      <c r="D17" s="15" t="s">
        <v>71</v>
      </c>
      <c r="E17" s="13">
        <v>25</v>
      </c>
      <c r="F17" s="13">
        <v>6</v>
      </c>
      <c r="G17" s="13">
        <f t="shared" si="0"/>
        <v>151</v>
      </c>
      <c r="H17" s="13">
        <v>382</v>
      </c>
      <c r="I17" s="14">
        <f t="shared" si="1"/>
        <v>-381.51780821917811</v>
      </c>
      <c r="J17" s="15" t="s">
        <v>67</v>
      </c>
      <c r="P17">
        <v>114</v>
      </c>
      <c r="Q17" s="17">
        <v>114</v>
      </c>
      <c r="R17" s="16">
        <f>1000/Q17</f>
        <v>8.7719298245614041</v>
      </c>
      <c r="S17" s="16">
        <f>8.33*R17</f>
        <v>73.070175438596493</v>
      </c>
      <c r="T17" s="16">
        <f>S17*1.33</f>
        <v>97.183333333333337</v>
      </c>
      <c r="V17" s="9"/>
      <c r="W17" s="8"/>
      <c r="X17" s="8"/>
      <c r="Y17" s="1"/>
      <c r="Z17" s="9"/>
      <c r="AA17" s="8"/>
      <c r="AB17" s="8"/>
      <c r="AE17" s="8"/>
      <c r="AF17" s="8"/>
    </row>
    <row r="18" spans="1:36" x14ac:dyDescent="0.2">
      <c r="A18">
        <v>-381</v>
      </c>
      <c r="B18" s="10" t="s">
        <v>72</v>
      </c>
      <c r="D18" s="15" t="s">
        <v>73</v>
      </c>
      <c r="E18" s="13">
        <v>1</v>
      </c>
      <c r="F18" s="13">
        <v>9</v>
      </c>
      <c r="G18" s="13">
        <f t="shared" si="0"/>
        <v>243</v>
      </c>
      <c r="H18" s="13">
        <v>382</v>
      </c>
      <c r="I18" s="14">
        <f t="shared" si="1"/>
        <v>-381.33150684931508</v>
      </c>
      <c r="J18" s="15" t="s">
        <v>74</v>
      </c>
      <c r="K18" s="2">
        <v>42</v>
      </c>
      <c r="L18" s="8">
        <v>42</v>
      </c>
      <c r="M18" s="8">
        <f>1000/L18</f>
        <v>23.80952380952381</v>
      </c>
      <c r="N18" s="8">
        <f>8.33*M18</f>
        <v>198.33333333333334</v>
      </c>
      <c r="O18" s="8">
        <f>1.613*N18</f>
        <v>319.91166666666669</v>
      </c>
      <c r="P18" t="s">
        <v>41</v>
      </c>
      <c r="T18" s="8"/>
      <c r="U18" s="1">
        <v>240</v>
      </c>
      <c r="V18" s="9">
        <v>240</v>
      </c>
      <c r="W18" s="8">
        <f>1000/V18</f>
        <v>4.166666666666667</v>
      </c>
      <c r="X18" s="8">
        <f>8.33*W18</f>
        <v>34.708333333333336</v>
      </c>
      <c r="Y18" s="18" t="s">
        <v>41</v>
      </c>
      <c r="Z18" s="9"/>
      <c r="AA18" s="8"/>
      <c r="AB18" s="8"/>
      <c r="AE18" s="8"/>
      <c r="AF18" s="8"/>
    </row>
    <row r="19" spans="1:36" x14ac:dyDescent="0.2">
      <c r="A19">
        <v>-380</v>
      </c>
      <c r="B19" s="10" t="s">
        <v>75</v>
      </c>
      <c r="C19" s="11" t="s">
        <v>39</v>
      </c>
      <c r="D19" s="15" t="s">
        <v>76</v>
      </c>
      <c r="E19" s="13">
        <v>18</v>
      </c>
      <c r="F19" s="13">
        <v>12</v>
      </c>
      <c r="G19" s="13">
        <f t="shared" si="0"/>
        <v>334</v>
      </c>
      <c r="H19" s="13">
        <v>381</v>
      </c>
      <c r="I19" s="14">
        <f t="shared" si="1"/>
        <v>-380.03561643835616</v>
      </c>
      <c r="J19" s="15" t="s">
        <v>77</v>
      </c>
      <c r="K19" s="10">
        <v>96</v>
      </c>
      <c r="L19" s="16">
        <v>96</v>
      </c>
      <c r="M19" s="16">
        <f>1000/L19</f>
        <v>10.416666666666666</v>
      </c>
      <c r="N19" s="16">
        <f>8.33*M19</f>
        <v>86.770833333333329</v>
      </c>
      <c r="O19" s="16">
        <f>1.613*N19</f>
        <v>139.96135416666667</v>
      </c>
      <c r="T19" s="8"/>
      <c r="AE19" s="8"/>
      <c r="AF19" s="8"/>
      <c r="AG19" s="1">
        <v>2</v>
      </c>
      <c r="AH19" s="9">
        <v>2</v>
      </c>
      <c r="AI19" s="8">
        <f>1/AH19</f>
        <v>0.5</v>
      </c>
      <c r="AJ19" s="8">
        <f>8.33*AI19</f>
        <v>4.165</v>
      </c>
    </row>
    <row r="20" spans="1:36" x14ac:dyDescent="0.2">
      <c r="A20">
        <v>-380</v>
      </c>
      <c r="B20" s="10" t="s">
        <v>75</v>
      </c>
      <c r="C20" s="11" t="s">
        <v>42</v>
      </c>
      <c r="D20" s="15" t="s">
        <v>78</v>
      </c>
      <c r="E20" s="13">
        <v>28</v>
      </c>
      <c r="F20" s="13">
        <v>12</v>
      </c>
      <c r="G20" s="13">
        <f t="shared" si="0"/>
        <v>334</v>
      </c>
      <c r="H20" s="13">
        <v>381</v>
      </c>
      <c r="I20" s="14">
        <f t="shared" si="1"/>
        <v>-380.00821917808219</v>
      </c>
      <c r="J20" s="15" t="s">
        <v>79</v>
      </c>
      <c r="L20" s="19">
        <v>96</v>
      </c>
      <c r="M20" s="19">
        <v>10.42</v>
      </c>
      <c r="N20" s="19">
        <v>86.77</v>
      </c>
      <c r="O20" s="19">
        <v>139.96</v>
      </c>
      <c r="T20" s="8"/>
      <c r="AE20" s="8"/>
      <c r="AF20" s="8"/>
    </row>
    <row r="21" spans="1:36" x14ac:dyDescent="0.2">
      <c r="A21">
        <v>-380</v>
      </c>
      <c r="B21" s="10" t="s">
        <v>75</v>
      </c>
      <c r="C21" s="11" t="s">
        <v>45</v>
      </c>
      <c r="D21" s="15" t="s">
        <v>80</v>
      </c>
      <c r="E21" s="13">
        <v>7</v>
      </c>
      <c r="F21" s="13">
        <v>1</v>
      </c>
      <c r="G21" s="13">
        <f t="shared" si="0"/>
        <v>0</v>
      </c>
      <c r="H21" s="13">
        <v>380</v>
      </c>
      <c r="I21" s="14">
        <f t="shared" si="1"/>
        <v>-379.98082191780821</v>
      </c>
      <c r="J21" s="15" t="s">
        <v>81</v>
      </c>
      <c r="K21" s="10" t="s">
        <v>82</v>
      </c>
      <c r="T21" s="8"/>
      <c r="AE21" s="8"/>
      <c r="AF21" s="8"/>
    </row>
    <row r="22" spans="1:36" x14ac:dyDescent="0.2">
      <c r="A22">
        <v>-379</v>
      </c>
      <c r="B22" s="10" t="s">
        <v>83</v>
      </c>
      <c r="C22" s="11" t="s">
        <v>39</v>
      </c>
      <c r="D22" s="15" t="s">
        <v>84</v>
      </c>
      <c r="E22" s="13">
        <v>4</v>
      </c>
      <c r="F22" s="13">
        <v>2</v>
      </c>
      <c r="G22" s="13">
        <f t="shared" si="0"/>
        <v>31</v>
      </c>
      <c r="H22" s="13">
        <v>379</v>
      </c>
      <c r="I22" s="14">
        <f t="shared" si="1"/>
        <v>-378.90410958904107</v>
      </c>
      <c r="J22" s="15" t="s">
        <v>85</v>
      </c>
      <c r="K22" s="10" t="s">
        <v>86</v>
      </c>
      <c r="L22" s="19"/>
      <c r="P22">
        <v>90</v>
      </c>
      <c r="Q22" s="17">
        <v>90</v>
      </c>
      <c r="R22" s="16">
        <f>1000/Q22</f>
        <v>11.111111111111111</v>
      </c>
      <c r="S22" s="16">
        <f>8.33*R22</f>
        <v>92.555555555555557</v>
      </c>
      <c r="T22" s="16">
        <f>S22*1.33</f>
        <v>123.09888888888889</v>
      </c>
      <c r="AE22" s="8"/>
      <c r="AF22" s="8"/>
    </row>
    <row r="23" spans="1:36" x14ac:dyDescent="0.2">
      <c r="A23">
        <v>-379</v>
      </c>
      <c r="B23" s="10" t="s">
        <v>83</v>
      </c>
      <c r="C23" s="11" t="s">
        <v>42</v>
      </c>
      <c r="D23" s="15" t="s">
        <v>87</v>
      </c>
      <c r="E23" s="13">
        <v>14</v>
      </c>
      <c r="F23" s="13">
        <v>2</v>
      </c>
      <c r="G23" s="13">
        <f t="shared" si="0"/>
        <v>31</v>
      </c>
      <c r="H23" s="13">
        <v>379</v>
      </c>
      <c r="I23" s="14">
        <f t="shared" si="1"/>
        <v>-378.8767123287671</v>
      </c>
      <c r="J23" s="15" t="s">
        <v>88</v>
      </c>
      <c r="K23" s="10">
        <v>72</v>
      </c>
      <c r="L23" s="16">
        <v>72</v>
      </c>
      <c r="M23" s="16">
        <f>1000/L23</f>
        <v>13.888888888888889</v>
      </c>
      <c r="N23" s="16">
        <f>8.33*M23</f>
        <v>115.69444444444444</v>
      </c>
      <c r="O23" s="16">
        <f>1.613*N23</f>
        <v>186.61513888888888</v>
      </c>
      <c r="P23" t="s">
        <v>82</v>
      </c>
      <c r="T23" s="8"/>
      <c r="AE23" s="8"/>
      <c r="AF23" s="8"/>
    </row>
    <row r="24" spans="1:36" x14ac:dyDescent="0.2">
      <c r="A24">
        <v>-379</v>
      </c>
      <c r="B24" s="10" t="s">
        <v>83</v>
      </c>
      <c r="C24" s="11" t="s">
        <v>45</v>
      </c>
      <c r="D24" s="15" t="s">
        <v>89</v>
      </c>
      <c r="E24" s="13">
        <v>24</v>
      </c>
      <c r="F24" s="13">
        <v>2</v>
      </c>
      <c r="G24" s="13">
        <f t="shared" si="0"/>
        <v>31</v>
      </c>
      <c r="H24" s="13">
        <v>379</v>
      </c>
      <c r="I24" s="14">
        <f t="shared" si="1"/>
        <v>-378.84931506849313</v>
      </c>
      <c r="J24" s="15" t="s">
        <v>90</v>
      </c>
      <c r="K24" s="10">
        <v>78</v>
      </c>
      <c r="L24" s="16">
        <v>78</v>
      </c>
      <c r="M24" s="16">
        <f>1000/L24</f>
        <v>12.820512820512821</v>
      </c>
      <c r="N24" s="16">
        <f>8.33*M24</f>
        <v>106.7948717948718</v>
      </c>
      <c r="O24" s="16">
        <f>1.613*N24</f>
        <v>172.26012820512821</v>
      </c>
      <c r="T24" s="8"/>
      <c r="AE24" s="8"/>
      <c r="AF24" s="8"/>
    </row>
    <row r="25" spans="1:36" x14ac:dyDescent="0.2">
      <c r="A25">
        <v>-378</v>
      </c>
      <c r="B25" s="10" t="s">
        <v>91</v>
      </c>
      <c r="D25" s="15" t="s">
        <v>92</v>
      </c>
      <c r="E25" s="13">
        <v>29</v>
      </c>
      <c r="F25" s="13">
        <v>9</v>
      </c>
      <c r="G25" s="13">
        <f t="shared" si="0"/>
        <v>243</v>
      </c>
      <c r="H25" s="13">
        <v>379</v>
      </c>
      <c r="I25" s="14">
        <f t="shared" si="1"/>
        <v>-378.25479452054793</v>
      </c>
      <c r="J25" s="15" t="s">
        <v>93</v>
      </c>
      <c r="T25" s="8"/>
      <c r="AC25" s="1">
        <v>15</v>
      </c>
      <c r="AD25" s="9">
        <v>15</v>
      </c>
      <c r="AE25" s="8">
        <f>1000/AD25</f>
        <v>66.666666666666671</v>
      </c>
      <c r="AF25" s="8">
        <f>8.33*AE25</f>
        <v>555.33333333333337</v>
      </c>
      <c r="AG25" s="1">
        <v>2</v>
      </c>
      <c r="AH25" s="9">
        <v>2</v>
      </c>
      <c r="AI25" s="8">
        <f>1/AH25</f>
        <v>0.5</v>
      </c>
      <c r="AJ25" s="8">
        <f>8.33*AI25</f>
        <v>4.165</v>
      </c>
    </row>
    <row r="26" spans="1:36" x14ac:dyDescent="0.2">
      <c r="A26">
        <v>-378</v>
      </c>
      <c r="B26" s="10" t="s">
        <v>94</v>
      </c>
      <c r="C26" s="11" t="s">
        <v>39</v>
      </c>
      <c r="D26" s="15" t="s">
        <v>95</v>
      </c>
      <c r="E26" s="13">
        <v>28</v>
      </c>
      <c r="F26" s="13">
        <v>10</v>
      </c>
      <c r="G26" s="13">
        <f t="shared" si="0"/>
        <v>273</v>
      </c>
      <c r="H26" s="13">
        <v>379</v>
      </c>
      <c r="I26" s="14">
        <f t="shared" si="1"/>
        <v>-378.17534246575343</v>
      </c>
      <c r="J26" s="15" t="s">
        <v>96</v>
      </c>
      <c r="K26" s="10">
        <v>52.5</v>
      </c>
      <c r="L26" s="16">
        <v>52.5</v>
      </c>
      <c r="M26" s="16">
        <f>1000/L26</f>
        <v>19.047619047619047</v>
      </c>
      <c r="N26" s="16">
        <f>8.33*M26</f>
        <v>158.66666666666666</v>
      </c>
      <c r="O26" s="16">
        <f>1.613*N26</f>
        <v>255.92933333333332</v>
      </c>
      <c r="T26" s="8"/>
      <c r="AG26" s="1" t="s">
        <v>97</v>
      </c>
      <c r="AH26" s="21">
        <v>2</v>
      </c>
      <c r="AI26" s="22">
        <f>1/AH26</f>
        <v>0.5</v>
      </c>
      <c r="AJ26" s="22">
        <f>8.33*AI26</f>
        <v>4.165</v>
      </c>
    </row>
    <row r="27" spans="1:36" x14ac:dyDescent="0.2">
      <c r="A27">
        <v>-378</v>
      </c>
      <c r="B27" s="10" t="s">
        <v>94</v>
      </c>
      <c r="C27" s="11" t="s">
        <v>42</v>
      </c>
      <c r="D27" s="15" t="s">
        <v>98</v>
      </c>
      <c r="E27" s="13">
        <v>7</v>
      </c>
      <c r="F27" s="13">
        <v>11</v>
      </c>
      <c r="G27" s="13">
        <f t="shared" si="0"/>
        <v>304</v>
      </c>
      <c r="H27" s="13">
        <v>379</v>
      </c>
      <c r="I27" s="14">
        <f t="shared" si="1"/>
        <v>-378.14794520547946</v>
      </c>
      <c r="J27" s="15" t="s">
        <v>99</v>
      </c>
      <c r="L27" s="19">
        <v>52.5</v>
      </c>
      <c r="M27" s="19">
        <v>19.05</v>
      </c>
      <c r="N27" s="19">
        <v>158.66999999999999</v>
      </c>
      <c r="O27" s="19">
        <v>255.93</v>
      </c>
      <c r="T27" s="8"/>
    </row>
    <row r="28" spans="1:36" x14ac:dyDescent="0.2">
      <c r="A28">
        <v>-378</v>
      </c>
      <c r="B28" s="10" t="s">
        <v>94</v>
      </c>
      <c r="C28" s="11" t="s">
        <v>45</v>
      </c>
      <c r="D28" s="15" t="s">
        <v>100</v>
      </c>
      <c r="E28" s="13">
        <v>17</v>
      </c>
      <c r="F28" s="13">
        <v>11</v>
      </c>
      <c r="G28" s="13">
        <f t="shared" si="0"/>
        <v>304</v>
      </c>
      <c r="H28" s="13">
        <v>379</v>
      </c>
      <c r="I28" s="14">
        <f t="shared" si="1"/>
        <v>-378.12054794520549</v>
      </c>
      <c r="J28" s="15" t="s">
        <v>101</v>
      </c>
      <c r="K28" s="10" t="s">
        <v>41</v>
      </c>
      <c r="T28" s="8"/>
    </row>
    <row r="29" spans="1:36" ht="11.25" customHeight="1" x14ac:dyDescent="0.2">
      <c r="A29">
        <v>-375</v>
      </c>
      <c r="B29" s="10" t="s">
        <v>91</v>
      </c>
      <c r="C29" s="11" t="s">
        <v>39</v>
      </c>
      <c r="D29" s="15" t="s">
        <v>102</v>
      </c>
      <c r="E29" s="13">
        <v>26</v>
      </c>
      <c r="F29" s="13">
        <v>9</v>
      </c>
      <c r="G29" s="13">
        <f t="shared" si="0"/>
        <v>243</v>
      </c>
      <c r="H29" s="13">
        <v>376</v>
      </c>
      <c r="I29" s="14">
        <f t="shared" si="1"/>
        <v>-375.26301369863012</v>
      </c>
      <c r="J29" s="15" t="s">
        <v>103</v>
      </c>
      <c r="K29" s="10" t="s">
        <v>104</v>
      </c>
      <c r="L29" s="19">
        <v>63</v>
      </c>
      <c r="M29" s="19">
        <f>1000/L29</f>
        <v>15.873015873015873</v>
      </c>
      <c r="N29" s="19">
        <f>8.33*M29</f>
        <v>132.22222222222223</v>
      </c>
      <c r="O29" s="19">
        <f>1.613*N29</f>
        <v>213.27444444444444</v>
      </c>
      <c r="T29" s="8"/>
    </row>
    <row r="30" spans="1:36" x14ac:dyDescent="0.2">
      <c r="A30">
        <v>-375</v>
      </c>
      <c r="B30" s="10" t="s">
        <v>91</v>
      </c>
      <c r="C30" s="11" t="s">
        <v>42</v>
      </c>
      <c r="D30" s="15" t="s">
        <v>105</v>
      </c>
      <c r="E30" s="13">
        <v>6</v>
      </c>
      <c r="F30" s="13">
        <v>10</v>
      </c>
      <c r="G30" s="13">
        <f t="shared" si="0"/>
        <v>273</v>
      </c>
      <c r="H30" s="13">
        <v>376</v>
      </c>
      <c r="I30" s="14">
        <f t="shared" si="1"/>
        <v>-375.23561643835615</v>
      </c>
      <c r="J30" s="15" t="s">
        <v>106</v>
      </c>
      <c r="L30" s="19">
        <v>63</v>
      </c>
      <c r="M30" s="19">
        <v>15.87</v>
      </c>
      <c r="N30" s="19">
        <v>132.22</v>
      </c>
      <c r="O30" s="19">
        <v>213.27</v>
      </c>
      <c r="T30" s="8"/>
    </row>
    <row r="31" spans="1:36" x14ac:dyDescent="0.2">
      <c r="A31">
        <v>-375</v>
      </c>
      <c r="B31" s="10" t="s">
        <v>91</v>
      </c>
      <c r="C31" s="11" t="s">
        <v>45</v>
      </c>
      <c r="D31" s="15" t="s">
        <v>107</v>
      </c>
      <c r="E31" s="13">
        <v>16</v>
      </c>
      <c r="F31" s="13">
        <v>10</v>
      </c>
      <c r="G31" s="13">
        <f t="shared" si="0"/>
        <v>273</v>
      </c>
      <c r="H31" s="13">
        <v>376</v>
      </c>
      <c r="I31" s="14">
        <f t="shared" si="1"/>
        <v>-375.20821917808217</v>
      </c>
      <c r="J31" s="15" t="s">
        <v>108</v>
      </c>
      <c r="K31" s="10" t="s">
        <v>109</v>
      </c>
      <c r="L31" s="19">
        <v>72</v>
      </c>
      <c r="M31" s="19">
        <f>1000/L31</f>
        <v>13.888888888888889</v>
      </c>
      <c r="N31" s="19">
        <f>8.33*M31</f>
        <v>115.69444444444444</v>
      </c>
      <c r="O31" s="19">
        <f>1.613*N31</f>
        <v>186.61513888888888</v>
      </c>
      <c r="T31" s="8"/>
    </row>
    <row r="32" spans="1:36" x14ac:dyDescent="0.2">
      <c r="A32">
        <v>-375</v>
      </c>
      <c r="B32" s="10" t="s">
        <v>75</v>
      </c>
      <c r="D32" s="15" t="s">
        <v>110</v>
      </c>
      <c r="E32" s="13">
        <v>23</v>
      </c>
      <c r="F32" s="13">
        <v>12</v>
      </c>
      <c r="G32" s="13">
        <f t="shared" si="0"/>
        <v>334</v>
      </c>
      <c r="H32" s="13">
        <v>376</v>
      </c>
      <c r="I32" s="14">
        <f t="shared" si="1"/>
        <v>-375.0219178082192</v>
      </c>
      <c r="J32" s="15" t="s">
        <v>111</v>
      </c>
      <c r="T32" s="8"/>
      <c r="AC32" s="1">
        <v>15</v>
      </c>
      <c r="AD32" s="9">
        <v>15</v>
      </c>
      <c r="AE32" s="8">
        <f>1000/AD32</f>
        <v>66.666666666666671</v>
      </c>
      <c r="AF32" s="8">
        <f>8.33*AE32</f>
        <v>555.33333333333337</v>
      </c>
      <c r="AG32" s="1">
        <v>2</v>
      </c>
      <c r="AH32" s="9">
        <v>2</v>
      </c>
      <c r="AI32" s="8">
        <f>1/AH32</f>
        <v>0.5</v>
      </c>
      <c r="AJ32" s="8">
        <f>8.33*AI32</f>
        <v>4.165</v>
      </c>
    </row>
    <row r="33" spans="1:36" x14ac:dyDescent="0.2">
      <c r="A33">
        <v>-375</v>
      </c>
      <c r="B33" s="10" t="s">
        <v>112</v>
      </c>
      <c r="C33" s="11" t="s">
        <v>39</v>
      </c>
      <c r="D33" s="15" t="s">
        <v>110</v>
      </c>
      <c r="E33" s="13">
        <v>23</v>
      </c>
      <c r="F33" s="13">
        <v>12</v>
      </c>
      <c r="G33" s="13">
        <f t="shared" si="0"/>
        <v>334</v>
      </c>
      <c r="H33" s="13">
        <v>376</v>
      </c>
      <c r="I33" s="14">
        <f t="shared" si="1"/>
        <v>-375.0219178082192</v>
      </c>
      <c r="J33" s="15" t="s">
        <v>113</v>
      </c>
      <c r="K33" s="10">
        <v>72</v>
      </c>
      <c r="L33" s="16">
        <v>72</v>
      </c>
      <c r="M33" s="16">
        <f>1000/L33</f>
        <v>13.888888888888889</v>
      </c>
      <c r="N33" s="16">
        <f>8.33*M33</f>
        <v>115.69444444444444</v>
      </c>
      <c r="O33" s="16">
        <f>1.613*N33</f>
        <v>186.61513888888888</v>
      </c>
      <c r="T33" s="8"/>
      <c r="AE33" s="8"/>
      <c r="AF33" s="8"/>
    </row>
    <row r="34" spans="1:36" x14ac:dyDescent="0.2">
      <c r="A34">
        <v>-375</v>
      </c>
      <c r="B34" s="10" t="s">
        <v>112</v>
      </c>
      <c r="C34" s="11" t="s">
        <v>42</v>
      </c>
      <c r="D34" s="15" t="s">
        <v>114</v>
      </c>
      <c r="E34" s="13">
        <v>2</v>
      </c>
      <c r="F34" s="13">
        <v>1</v>
      </c>
      <c r="G34" s="13">
        <f t="shared" si="0"/>
        <v>0</v>
      </c>
      <c r="H34" s="13">
        <v>375</v>
      </c>
      <c r="I34" s="14">
        <f t="shared" si="1"/>
        <v>-374.99452054794523</v>
      </c>
      <c r="J34" s="15" t="s">
        <v>115</v>
      </c>
      <c r="L34" s="19">
        <v>72</v>
      </c>
      <c r="M34" s="19">
        <v>13.89</v>
      </c>
      <c r="N34" s="19">
        <v>115.69</v>
      </c>
      <c r="O34" s="19">
        <v>186.62</v>
      </c>
      <c r="T34" s="8"/>
      <c r="AE34" s="8"/>
      <c r="AF34" s="8"/>
    </row>
    <row r="35" spans="1:36" x14ac:dyDescent="0.2">
      <c r="A35">
        <v>-375</v>
      </c>
      <c r="B35" s="10" t="s">
        <v>112</v>
      </c>
      <c r="C35" s="11" t="s">
        <v>45</v>
      </c>
      <c r="D35" s="15" t="s">
        <v>116</v>
      </c>
      <c r="E35" s="13">
        <v>12</v>
      </c>
      <c r="F35" s="13">
        <v>1</v>
      </c>
      <c r="G35" s="13">
        <f t="shared" si="0"/>
        <v>0</v>
      </c>
      <c r="H35" s="13">
        <v>375</v>
      </c>
      <c r="I35" s="14">
        <f t="shared" si="1"/>
        <v>-374.96712328767126</v>
      </c>
      <c r="J35" s="15" t="s">
        <v>111</v>
      </c>
      <c r="K35" s="10" t="s">
        <v>41</v>
      </c>
      <c r="T35" s="8"/>
      <c r="AE35" s="8"/>
      <c r="AF35" s="8"/>
    </row>
    <row r="36" spans="1:36" x14ac:dyDescent="0.2">
      <c r="A36">
        <v>-375</v>
      </c>
      <c r="B36" s="10" t="s">
        <v>83</v>
      </c>
      <c r="D36" s="15" t="s">
        <v>117</v>
      </c>
      <c r="E36" s="13">
        <v>21</v>
      </c>
      <c r="F36" s="13">
        <v>1</v>
      </c>
      <c r="G36" s="13">
        <f t="shared" si="0"/>
        <v>0</v>
      </c>
      <c r="H36" s="13">
        <v>375</v>
      </c>
      <c r="I36" s="14">
        <f t="shared" si="1"/>
        <v>-374.94246575342464</v>
      </c>
      <c r="J36" s="15" t="s">
        <v>118</v>
      </c>
      <c r="K36" s="2" t="s">
        <v>119</v>
      </c>
      <c r="L36" s="22">
        <v>75</v>
      </c>
      <c r="M36" s="22">
        <f>1000/L36</f>
        <v>13.333333333333334</v>
      </c>
      <c r="N36" s="22">
        <f>8.33*M36</f>
        <v>111.06666666666668</v>
      </c>
      <c r="O36" s="22">
        <f>1.613*N36</f>
        <v>179.15053333333336</v>
      </c>
      <c r="P36" t="s">
        <v>82</v>
      </c>
      <c r="T36" s="8"/>
      <c r="AE36" s="8"/>
      <c r="AF36" s="8"/>
    </row>
    <row r="37" spans="1:36" x14ac:dyDescent="0.2">
      <c r="A37">
        <v>-373</v>
      </c>
      <c r="B37" s="10" t="s">
        <v>120</v>
      </c>
      <c r="C37" s="11" t="s">
        <v>39</v>
      </c>
      <c r="D37" s="15" t="s">
        <v>121</v>
      </c>
      <c r="E37" s="13">
        <v>4</v>
      </c>
      <c r="F37" s="13">
        <v>10</v>
      </c>
      <c r="G37" s="13">
        <f t="shared" si="0"/>
        <v>273</v>
      </c>
      <c r="H37" s="13">
        <v>374</v>
      </c>
      <c r="I37" s="14">
        <f t="shared" si="1"/>
        <v>-373.24109589041097</v>
      </c>
      <c r="J37" s="15" t="s">
        <v>122</v>
      </c>
      <c r="P37">
        <v>75</v>
      </c>
      <c r="Q37" s="17">
        <v>75</v>
      </c>
      <c r="R37" s="16">
        <f>1000/Q37</f>
        <v>13.333333333333334</v>
      </c>
      <c r="S37" s="16">
        <f>8.33*R37</f>
        <v>111.06666666666668</v>
      </c>
      <c r="T37" s="16">
        <f>S37*1.33</f>
        <v>147.71866666666668</v>
      </c>
      <c r="U37" t="s">
        <v>82</v>
      </c>
      <c r="AE37" s="8"/>
      <c r="AF37" s="8"/>
    </row>
    <row r="38" spans="1:36" x14ac:dyDescent="0.2">
      <c r="A38">
        <v>-373</v>
      </c>
      <c r="B38" s="10" t="s">
        <v>120</v>
      </c>
      <c r="C38" s="11" t="s">
        <v>42</v>
      </c>
      <c r="D38" s="15" t="s">
        <v>123</v>
      </c>
      <c r="E38" s="13">
        <v>14</v>
      </c>
      <c r="F38" s="13">
        <v>10</v>
      </c>
      <c r="G38" s="13">
        <f t="shared" si="0"/>
        <v>273</v>
      </c>
      <c r="H38" s="13">
        <v>374</v>
      </c>
      <c r="I38" s="14">
        <f t="shared" si="1"/>
        <v>-373.213698630137</v>
      </c>
      <c r="J38" s="15" t="s">
        <v>124</v>
      </c>
      <c r="Q38" s="20">
        <v>75</v>
      </c>
      <c r="R38" s="19">
        <v>13.33</v>
      </c>
      <c r="S38" s="19">
        <v>111.07</v>
      </c>
      <c r="T38" s="19">
        <f>S38*1.33</f>
        <v>147.72309999999999</v>
      </c>
      <c r="AE38" s="8"/>
      <c r="AF38" s="8"/>
    </row>
    <row r="39" spans="1:36" x14ac:dyDescent="0.2">
      <c r="A39">
        <v>-373</v>
      </c>
      <c r="B39" s="10" t="s">
        <v>91</v>
      </c>
      <c r="C39" s="11" t="s">
        <v>45</v>
      </c>
      <c r="D39" s="15" t="s">
        <v>125</v>
      </c>
      <c r="E39" s="13">
        <v>24</v>
      </c>
      <c r="F39" s="13">
        <v>10</v>
      </c>
      <c r="G39" s="13">
        <f t="shared" si="0"/>
        <v>273</v>
      </c>
      <c r="H39" s="13">
        <v>374</v>
      </c>
      <c r="I39" s="14">
        <f t="shared" si="1"/>
        <v>-373.18630136986303</v>
      </c>
      <c r="J39" s="15" t="s">
        <v>126</v>
      </c>
      <c r="P39">
        <v>60</v>
      </c>
      <c r="Q39" s="17">
        <v>60</v>
      </c>
      <c r="R39" s="16">
        <f>1000/Q39</f>
        <v>16.666666666666668</v>
      </c>
      <c r="S39" s="16">
        <f>8.33*R39</f>
        <v>138.83333333333334</v>
      </c>
      <c r="T39" s="16">
        <f>S39*1.33</f>
        <v>184.64833333333337</v>
      </c>
      <c r="AE39" s="8"/>
      <c r="AF39" s="8"/>
    </row>
    <row r="40" spans="1:36" x14ac:dyDescent="0.2">
      <c r="A40">
        <v>-373</v>
      </c>
      <c r="B40" s="10" t="s">
        <v>127</v>
      </c>
      <c r="D40" s="15" t="s">
        <v>128</v>
      </c>
      <c r="E40" s="13">
        <v>28</v>
      </c>
      <c r="F40" s="13">
        <v>2</v>
      </c>
      <c r="G40" s="13">
        <f t="shared" si="0"/>
        <v>31</v>
      </c>
      <c r="H40" s="13">
        <v>373</v>
      </c>
      <c r="I40" s="14">
        <f t="shared" si="1"/>
        <v>-372.83835616438358</v>
      </c>
      <c r="J40" s="15" t="s">
        <v>129</v>
      </c>
      <c r="P40">
        <v>66</v>
      </c>
      <c r="Q40" s="20">
        <v>66</v>
      </c>
      <c r="R40" s="19">
        <f>1000/Q40</f>
        <v>15.151515151515152</v>
      </c>
      <c r="S40" s="19">
        <f>8.33*R40</f>
        <v>126.21212121212122</v>
      </c>
      <c r="T40" s="19">
        <f>S40*1.33</f>
        <v>167.86212121212122</v>
      </c>
      <c r="AE40" s="8"/>
      <c r="AF40" s="8"/>
    </row>
    <row r="41" spans="1:36" x14ac:dyDescent="0.2">
      <c r="A41">
        <v>-372</v>
      </c>
      <c r="B41" s="10" t="s">
        <v>130</v>
      </c>
      <c r="D41" s="15" t="s">
        <v>131</v>
      </c>
      <c r="E41" s="13">
        <v>25</v>
      </c>
      <c r="F41" s="13">
        <v>6</v>
      </c>
      <c r="G41" s="13">
        <f t="shared" si="0"/>
        <v>151</v>
      </c>
      <c r="H41" s="13">
        <v>373</v>
      </c>
      <c r="I41" s="14">
        <f t="shared" si="1"/>
        <v>-372.51780821917811</v>
      </c>
      <c r="J41" s="15" t="s">
        <v>132</v>
      </c>
      <c r="K41" s="10" t="s">
        <v>133</v>
      </c>
      <c r="P41" t="s">
        <v>133</v>
      </c>
      <c r="T41" s="8"/>
      <c r="U41" s="1">
        <v>300</v>
      </c>
      <c r="V41" s="9">
        <v>300</v>
      </c>
      <c r="W41" s="8">
        <f>1000/V41</f>
        <v>3.3333333333333335</v>
      </c>
      <c r="X41" s="8">
        <f>8.33*W41</f>
        <v>27.766666666666669</v>
      </c>
      <c r="Y41" s="1">
        <v>12</v>
      </c>
      <c r="Z41" s="9">
        <v>12</v>
      </c>
      <c r="AA41" s="8">
        <f>1000/Z41</f>
        <v>83.333333333333329</v>
      </c>
      <c r="AB41" s="8">
        <f>8.33*AA41</f>
        <v>694.16666666666663</v>
      </c>
      <c r="AC41" s="1">
        <v>18</v>
      </c>
      <c r="AD41" s="9">
        <v>18</v>
      </c>
      <c r="AE41" s="8">
        <f>1000/AD41</f>
        <v>55.555555555555557</v>
      </c>
      <c r="AF41" s="8">
        <f>8.33*AE41</f>
        <v>462.77777777777777</v>
      </c>
      <c r="AG41" s="1">
        <v>3</v>
      </c>
      <c r="AH41" s="9">
        <v>3</v>
      </c>
      <c r="AI41" s="8">
        <f>1/AH41</f>
        <v>0.33333333333333331</v>
      </c>
      <c r="AJ41" s="8">
        <f>8.33*AI41</f>
        <v>2.7766666666666664</v>
      </c>
    </row>
    <row r="42" spans="1:36" x14ac:dyDescent="0.2">
      <c r="A42">
        <v>-372</v>
      </c>
      <c r="B42" s="10" t="s">
        <v>72</v>
      </c>
      <c r="D42" s="15" t="s">
        <v>134</v>
      </c>
      <c r="E42" s="13">
        <v>23</v>
      </c>
      <c r="F42" s="13">
        <v>8</v>
      </c>
      <c r="G42" s="13">
        <f t="shared" si="0"/>
        <v>212</v>
      </c>
      <c r="H42" s="13">
        <v>373</v>
      </c>
      <c r="I42" s="14">
        <f t="shared" si="1"/>
        <v>-372.35616438356163</v>
      </c>
      <c r="J42" s="15" t="s">
        <v>135</v>
      </c>
      <c r="P42" s="1" t="s">
        <v>136</v>
      </c>
      <c r="Q42" s="21">
        <v>60</v>
      </c>
      <c r="R42" s="22">
        <f>1000/Q42</f>
        <v>16.666666666666668</v>
      </c>
      <c r="S42" s="22">
        <f>8.33*R42</f>
        <v>138.83333333333334</v>
      </c>
      <c r="T42" s="22">
        <f>S42*1.33</f>
        <v>184.64833333333337</v>
      </c>
      <c r="U42" s="1"/>
      <c r="V42" s="9"/>
      <c r="Y42" s="1"/>
      <c r="Z42" s="9"/>
      <c r="AC42" s="1"/>
      <c r="AD42" s="9"/>
      <c r="AG42" s="1"/>
      <c r="AH42" s="9"/>
    </row>
    <row r="43" spans="1:36" x14ac:dyDescent="0.2">
      <c r="A43">
        <v>-372</v>
      </c>
      <c r="B43" s="10" t="s">
        <v>137</v>
      </c>
      <c r="C43" s="11" t="s">
        <v>39</v>
      </c>
      <c r="D43" s="15" t="s">
        <v>134</v>
      </c>
      <c r="E43" s="13">
        <v>23</v>
      </c>
      <c r="F43" s="13">
        <v>8</v>
      </c>
      <c r="G43" s="13">
        <f t="shared" si="0"/>
        <v>212</v>
      </c>
      <c r="H43" s="13">
        <v>373</v>
      </c>
      <c r="I43" s="14">
        <f t="shared" si="1"/>
        <v>-372.35616438356163</v>
      </c>
      <c r="J43" s="15" t="s">
        <v>138</v>
      </c>
      <c r="K43" s="10" t="s">
        <v>82</v>
      </c>
      <c r="Q43" s="20"/>
      <c r="T43" s="8"/>
    </row>
    <row r="44" spans="1:36" x14ac:dyDescent="0.2">
      <c r="A44">
        <v>-372</v>
      </c>
      <c r="B44" s="10" t="s">
        <v>137</v>
      </c>
      <c r="C44" s="11" t="s">
        <v>42</v>
      </c>
      <c r="D44" s="15" t="s">
        <v>139</v>
      </c>
      <c r="E44" s="13">
        <v>2</v>
      </c>
      <c r="F44" s="13">
        <v>9</v>
      </c>
      <c r="G44" s="13">
        <f t="shared" si="0"/>
        <v>243</v>
      </c>
      <c r="H44" s="13">
        <v>373</v>
      </c>
      <c r="I44" s="14">
        <f t="shared" si="1"/>
        <v>-372.32876712328766</v>
      </c>
      <c r="J44" s="15" t="s">
        <v>140</v>
      </c>
      <c r="K44" s="10" t="s">
        <v>133</v>
      </c>
      <c r="T44" s="8"/>
    </row>
    <row r="45" spans="1:36" x14ac:dyDescent="0.2">
      <c r="A45">
        <v>-372</v>
      </c>
      <c r="B45" s="10" t="s">
        <v>72</v>
      </c>
      <c r="C45" s="11" t="s">
        <v>45</v>
      </c>
      <c r="D45" s="15" t="s">
        <v>141</v>
      </c>
      <c r="E45" s="13">
        <v>12</v>
      </c>
      <c r="F45" s="13">
        <v>9</v>
      </c>
      <c r="G45" s="13">
        <f t="shared" si="0"/>
        <v>243</v>
      </c>
      <c r="H45" s="13">
        <v>373</v>
      </c>
      <c r="I45" s="14">
        <f t="shared" si="1"/>
        <v>-372.30136986301369</v>
      </c>
      <c r="J45" s="15" t="s">
        <v>135</v>
      </c>
      <c r="K45" s="10">
        <v>39</v>
      </c>
      <c r="L45" s="16">
        <v>39</v>
      </c>
      <c r="M45" s="16">
        <f>1000/L45</f>
        <v>25.641025641025642</v>
      </c>
      <c r="N45" s="16">
        <f>8.33*M45</f>
        <v>213.58974358974359</v>
      </c>
      <c r="O45" s="16">
        <f>1.613*N45</f>
        <v>344.52025641025642</v>
      </c>
      <c r="P45" t="s">
        <v>133</v>
      </c>
      <c r="T45" s="8"/>
    </row>
    <row r="46" spans="1:36" x14ac:dyDescent="0.2">
      <c r="A46">
        <v>-372</v>
      </c>
      <c r="B46" s="10" t="s">
        <v>91</v>
      </c>
      <c r="D46" s="15" t="s">
        <v>142</v>
      </c>
      <c r="E46" s="13">
        <v>22</v>
      </c>
      <c r="F46" s="13">
        <v>9</v>
      </c>
      <c r="G46" s="13">
        <f t="shared" si="0"/>
        <v>243</v>
      </c>
      <c r="H46" s="13">
        <v>373</v>
      </c>
      <c r="I46" s="14">
        <f t="shared" si="1"/>
        <v>-372.27397260273972</v>
      </c>
      <c r="J46" s="15" t="s">
        <v>143</v>
      </c>
      <c r="T46" s="8"/>
      <c r="AC46" s="1" t="s">
        <v>144</v>
      </c>
      <c r="AD46" s="21">
        <v>22.5</v>
      </c>
      <c r="AE46" s="22">
        <f>1000/AD46</f>
        <v>44.444444444444443</v>
      </c>
      <c r="AF46" s="22">
        <f>8.33*AE46</f>
        <v>370.22222222222223</v>
      </c>
      <c r="AG46" s="1">
        <v>3</v>
      </c>
      <c r="AH46" s="9">
        <v>3</v>
      </c>
      <c r="AI46" s="8">
        <f>1/AH46</f>
        <v>0.33333333333333331</v>
      </c>
      <c r="AJ46" s="8">
        <f>8.33*AI46</f>
        <v>2.7766666666666664</v>
      </c>
    </row>
    <row r="47" spans="1:36" x14ac:dyDescent="0.2">
      <c r="A47">
        <v>-372</v>
      </c>
      <c r="B47" s="10" t="s">
        <v>145</v>
      </c>
      <c r="C47" s="11" t="s">
        <v>39</v>
      </c>
      <c r="D47" s="15" t="s">
        <v>146</v>
      </c>
      <c r="E47" s="13">
        <v>19</v>
      </c>
      <c r="F47" s="13">
        <v>12</v>
      </c>
      <c r="G47" s="13">
        <f t="shared" si="0"/>
        <v>334</v>
      </c>
      <c r="H47" s="13">
        <v>373</v>
      </c>
      <c r="I47" s="14">
        <f t="shared" si="1"/>
        <v>-372.03287671232874</v>
      </c>
      <c r="J47" s="15" t="s">
        <v>147</v>
      </c>
      <c r="K47" s="10" t="s">
        <v>148</v>
      </c>
      <c r="L47" s="19">
        <v>33</v>
      </c>
      <c r="M47" s="19">
        <f>1000/L47</f>
        <v>30.303030303030305</v>
      </c>
      <c r="N47" s="19">
        <f>8.33*M47</f>
        <v>252.42424242424244</v>
      </c>
      <c r="O47" s="19">
        <f>1.613*N47</f>
        <v>407.16030303030306</v>
      </c>
      <c r="P47">
        <v>84</v>
      </c>
      <c r="Q47" s="17">
        <v>84</v>
      </c>
      <c r="R47" s="16">
        <f>1000/Q47</f>
        <v>11.904761904761905</v>
      </c>
      <c r="S47" s="16">
        <f>8.33*R47</f>
        <v>99.166666666666671</v>
      </c>
      <c r="T47" s="16">
        <f>S47*1.33</f>
        <v>131.89166666666668</v>
      </c>
    </row>
    <row r="48" spans="1:36" x14ac:dyDescent="0.2">
      <c r="A48">
        <v>-372</v>
      </c>
      <c r="B48" s="10" t="s">
        <v>145</v>
      </c>
      <c r="C48" s="11" t="s">
        <v>42</v>
      </c>
      <c r="D48" s="15" t="s">
        <v>149</v>
      </c>
      <c r="E48" s="13">
        <v>29</v>
      </c>
      <c r="F48" s="13">
        <v>12</v>
      </c>
      <c r="G48" s="13">
        <f t="shared" si="0"/>
        <v>334</v>
      </c>
      <c r="H48" s="13">
        <v>373</v>
      </c>
      <c r="I48" s="14">
        <f t="shared" si="1"/>
        <v>-372.00547945205477</v>
      </c>
      <c r="J48" s="15" t="s">
        <v>150</v>
      </c>
      <c r="K48" s="10" t="s">
        <v>133</v>
      </c>
      <c r="L48" s="19">
        <v>33</v>
      </c>
      <c r="M48" s="19">
        <v>30.3</v>
      </c>
      <c r="N48" s="19">
        <v>252.42</v>
      </c>
      <c r="O48" s="19">
        <v>407.16</v>
      </c>
      <c r="T48" s="8"/>
    </row>
    <row r="49" spans="1:33" x14ac:dyDescent="0.2">
      <c r="A49">
        <v>-372</v>
      </c>
      <c r="B49" s="10" t="s">
        <v>75</v>
      </c>
      <c r="C49" s="11" t="s">
        <v>45</v>
      </c>
      <c r="D49" s="15" t="s">
        <v>151</v>
      </c>
      <c r="E49" s="13">
        <v>8</v>
      </c>
      <c r="F49" s="13">
        <v>1</v>
      </c>
      <c r="G49" s="13">
        <f t="shared" si="0"/>
        <v>0</v>
      </c>
      <c r="H49" s="13">
        <v>372</v>
      </c>
      <c r="I49" s="14">
        <f t="shared" si="1"/>
        <v>-371.9780821917808</v>
      </c>
      <c r="J49" s="15" t="s">
        <v>152</v>
      </c>
      <c r="K49" s="10" t="s">
        <v>153</v>
      </c>
      <c r="L49" s="19">
        <v>28.5</v>
      </c>
      <c r="M49" s="19">
        <f>1000/L49</f>
        <v>35.087719298245617</v>
      </c>
      <c r="N49" s="19">
        <f>8.33*M49</f>
        <v>292.28070175438597</v>
      </c>
      <c r="O49" s="19">
        <f>1.613*N49</f>
        <v>471.44877192982455</v>
      </c>
      <c r="P49" t="s">
        <v>82</v>
      </c>
      <c r="T49" s="8"/>
    </row>
    <row r="50" spans="1:33" x14ac:dyDescent="0.2">
      <c r="A50">
        <v>-372</v>
      </c>
      <c r="B50" s="10" t="s">
        <v>154</v>
      </c>
      <c r="C50" s="11" t="s">
        <v>39</v>
      </c>
      <c r="D50" s="15" t="s">
        <v>155</v>
      </c>
      <c r="E50" s="13">
        <v>18</v>
      </c>
      <c r="F50" s="13">
        <v>1</v>
      </c>
      <c r="G50" s="13">
        <f t="shared" si="0"/>
        <v>0</v>
      </c>
      <c r="H50" s="13">
        <v>372</v>
      </c>
      <c r="I50" s="14">
        <f t="shared" si="1"/>
        <v>-371.95068493150683</v>
      </c>
      <c r="J50" s="15" t="s">
        <v>156</v>
      </c>
      <c r="K50" s="10">
        <v>24</v>
      </c>
      <c r="L50" s="16">
        <v>24</v>
      </c>
      <c r="M50" s="16">
        <f>1000/L50</f>
        <v>41.666666666666664</v>
      </c>
      <c r="N50" s="16">
        <f>8.33*M50</f>
        <v>347.08333333333331</v>
      </c>
      <c r="O50" s="16">
        <f>1.613*N50</f>
        <v>559.84541666666667</v>
      </c>
      <c r="T50" s="8"/>
    </row>
    <row r="51" spans="1:33" x14ac:dyDescent="0.2">
      <c r="A51">
        <v>-372</v>
      </c>
      <c r="B51" s="10" t="s">
        <v>157</v>
      </c>
      <c r="C51" s="11" t="s">
        <v>42</v>
      </c>
      <c r="D51" s="15" t="s">
        <v>158</v>
      </c>
      <c r="E51" s="13">
        <v>28</v>
      </c>
      <c r="F51" s="13">
        <v>1</v>
      </c>
      <c r="G51" s="13">
        <f t="shared" si="0"/>
        <v>0</v>
      </c>
      <c r="H51" s="13">
        <v>372</v>
      </c>
      <c r="I51" s="14">
        <f t="shared" si="1"/>
        <v>-371.92328767123286</v>
      </c>
      <c r="J51" s="15" t="s">
        <v>159</v>
      </c>
      <c r="K51" s="10" t="s">
        <v>82</v>
      </c>
      <c r="T51" s="8"/>
    </row>
    <row r="52" spans="1:33" x14ac:dyDescent="0.2">
      <c r="A52">
        <v>-372</v>
      </c>
      <c r="B52" s="10" t="s">
        <v>157</v>
      </c>
      <c r="C52" s="11" t="s">
        <v>45</v>
      </c>
      <c r="D52" s="15" t="s">
        <v>160</v>
      </c>
      <c r="E52" s="13">
        <v>7</v>
      </c>
      <c r="F52" s="13">
        <v>2</v>
      </c>
      <c r="G52" s="13">
        <f t="shared" si="0"/>
        <v>31</v>
      </c>
      <c r="H52" s="13">
        <v>372</v>
      </c>
      <c r="I52" s="14">
        <f t="shared" si="1"/>
        <v>-371.89589041095888</v>
      </c>
      <c r="J52" s="15" t="s">
        <v>161</v>
      </c>
      <c r="K52" s="10" t="s">
        <v>133</v>
      </c>
      <c r="L52" s="16" t="s">
        <v>133</v>
      </c>
      <c r="T52" s="8"/>
    </row>
    <row r="53" spans="1:33" x14ac:dyDescent="0.2">
      <c r="A53">
        <v>-372</v>
      </c>
      <c r="B53" s="10" t="s">
        <v>162</v>
      </c>
      <c r="D53" s="15" t="s">
        <v>163</v>
      </c>
      <c r="E53" s="13">
        <v>18</v>
      </c>
      <c r="F53" s="13">
        <v>3</v>
      </c>
      <c r="G53" s="13">
        <f t="shared" si="0"/>
        <v>59</v>
      </c>
      <c r="H53" s="13">
        <v>372</v>
      </c>
      <c r="I53" s="14">
        <f t="shared" si="1"/>
        <v>-371.78904109589041</v>
      </c>
      <c r="J53" s="15" t="s">
        <v>164</v>
      </c>
      <c r="T53" s="8"/>
      <c r="AC53" s="1">
        <v>72</v>
      </c>
      <c r="AD53" s="9">
        <v>72</v>
      </c>
      <c r="AE53" s="8">
        <f>1000/AD53</f>
        <v>13.888888888888889</v>
      </c>
      <c r="AF53" s="8">
        <f>8.33*AE53</f>
        <v>115.69444444444444</v>
      </c>
      <c r="AG53" t="s">
        <v>41</v>
      </c>
    </row>
    <row r="54" spans="1:33" x14ac:dyDescent="0.2">
      <c r="A54">
        <v>-370</v>
      </c>
      <c r="B54" s="10" t="s">
        <v>165</v>
      </c>
      <c r="C54" s="11" t="s">
        <v>39</v>
      </c>
      <c r="D54" s="15" t="s">
        <v>166</v>
      </c>
      <c r="E54" s="13">
        <v>4</v>
      </c>
      <c r="F54" s="13">
        <v>7</v>
      </c>
      <c r="G54" s="13">
        <f t="shared" si="0"/>
        <v>181</v>
      </c>
      <c r="H54" s="13">
        <v>371</v>
      </c>
      <c r="I54" s="14">
        <f t="shared" si="1"/>
        <v>-370.49315068493149</v>
      </c>
      <c r="J54" s="15" t="s">
        <v>167</v>
      </c>
      <c r="K54" s="10" t="s">
        <v>133</v>
      </c>
      <c r="L54" s="16" t="s">
        <v>133</v>
      </c>
      <c r="P54">
        <v>60</v>
      </c>
      <c r="Q54" s="17">
        <v>60</v>
      </c>
      <c r="R54" s="16">
        <f>1000/Q54</f>
        <v>16.666666666666668</v>
      </c>
      <c r="S54" s="16">
        <f>8.33*R54</f>
        <v>138.83333333333334</v>
      </c>
      <c r="T54" s="16">
        <f>S54*1.33</f>
        <v>184.64833333333337</v>
      </c>
    </row>
    <row r="55" spans="1:33" x14ac:dyDescent="0.2">
      <c r="A55">
        <v>-370</v>
      </c>
      <c r="B55" s="10" t="s">
        <v>165</v>
      </c>
      <c r="C55" s="11" t="s">
        <v>42</v>
      </c>
      <c r="D55" s="15" t="s">
        <v>168</v>
      </c>
      <c r="E55" s="13">
        <v>14</v>
      </c>
      <c r="F55" s="13">
        <v>7</v>
      </c>
      <c r="G55" s="13">
        <f t="shared" si="0"/>
        <v>181</v>
      </c>
      <c r="H55" s="13">
        <v>371</v>
      </c>
      <c r="I55" s="14">
        <f t="shared" si="1"/>
        <v>-370.46575342465752</v>
      </c>
      <c r="J55" s="15" t="s">
        <v>169</v>
      </c>
      <c r="Q55" s="20">
        <v>60</v>
      </c>
      <c r="R55" s="19">
        <v>16.670000000000002</v>
      </c>
      <c r="S55" s="19">
        <v>138.83000000000001</v>
      </c>
      <c r="T55" s="19">
        <f>S55*1.33</f>
        <v>184.64390000000003</v>
      </c>
    </row>
    <row r="56" spans="1:33" x14ac:dyDescent="0.2">
      <c r="A56">
        <v>-370</v>
      </c>
      <c r="B56" s="10" t="s">
        <v>130</v>
      </c>
      <c r="C56" s="11" t="s">
        <v>45</v>
      </c>
      <c r="D56" s="15" t="s">
        <v>170</v>
      </c>
      <c r="E56" s="13">
        <v>24</v>
      </c>
      <c r="F56" s="13">
        <v>7</v>
      </c>
      <c r="G56" s="13">
        <f t="shared" si="0"/>
        <v>181</v>
      </c>
      <c r="H56" s="13">
        <v>371</v>
      </c>
      <c r="I56" s="14">
        <f t="shared" si="1"/>
        <v>-370.43835616438355</v>
      </c>
      <c r="J56" s="15" t="s">
        <v>171</v>
      </c>
      <c r="P56" t="s">
        <v>172</v>
      </c>
      <c r="Q56" s="20">
        <v>63</v>
      </c>
      <c r="R56" s="19">
        <f>1000/Q56</f>
        <v>15.873015873015873</v>
      </c>
      <c r="S56" s="19">
        <f>8.33*R56</f>
        <v>132.22222222222223</v>
      </c>
      <c r="T56" s="19">
        <f>S56*1.33</f>
        <v>175.85555555555558</v>
      </c>
    </row>
    <row r="57" spans="1:33" x14ac:dyDescent="0.2">
      <c r="A57">
        <v>-370</v>
      </c>
      <c r="B57" s="10" t="s">
        <v>91</v>
      </c>
      <c r="D57" s="15" t="s">
        <v>173</v>
      </c>
      <c r="E57" s="13">
        <v>30</v>
      </c>
      <c r="F57" s="13">
        <v>9</v>
      </c>
      <c r="G57" s="13">
        <f t="shared" si="0"/>
        <v>243</v>
      </c>
      <c r="H57" s="13">
        <v>371</v>
      </c>
      <c r="I57" s="14">
        <f t="shared" si="1"/>
        <v>-370.25205479452057</v>
      </c>
      <c r="J57" s="15" t="s">
        <v>174</v>
      </c>
      <c r="K57" s="2">
        <v>36</v>
      </c>
      <c r="L57" s="8">
        <v>36</v>
      </c>
      <c r="M57" s="8">
        <f>1000/L57</f>
        <v>27.777777777777779</v>
      </c>
      <c r="N57" s="8">
        <f>8.33*M57</f>
        <v>231.38888888888889</v>
      </c>
      <c r="O57" s="8">
        <f>1.613*N57</f>
        <v>373.23027777777776</v>
      </c>
      <c r="T57" s="8"/>
    </row>
    <row r="58" spans="1:33" x14ac:dyDescent="0.2">
      <c r="A58">
        <v>-370</v>
      </c>
      <c r="B58" s="10" t="s">
        <v>91</v>
      </c>
      <c r="C58" s="11" t="s">
        <v>39</v>
      </c>
      <c r="D58" s="15" t="s">
        <v>173</v>
      </c>
      <c r="E58" s="13">
        <v>30</v>
      </c>
      <c r="F58" s="13">
        <v>9</v>
      </c>
      <c r="G58" s="13">
        <f t="shared" si="0"/>
        <v>243</v>
      </c>
      <c r="H58" s="13">
        <v>371</v>
      </c>
      <c r="I58" s="14">
        <f t="shared" si="1"/>
        <v>-370.25205479452057</v>
      </c>
      <c r="J58" s="15" t="s">
        <v>175</v>
      </c>
      <c r="P58">
        <v>66</v>
      </c>
      <c r="Q58" s="17">
        <v>66</v>
      </c>
      <c r="R58" s="16">
        <f>1000/Q58</f>
        <v>15.151515151515152</v>
      </c>
      <c r="S58" s="16">
        <f>8.33*R58</f>
        <v>126.21212121212122</v>
      </c>
      <c r="T58" s="16">
        <f>S58*1.33</f>
        <v>167.86212121212122</v>
      </c>
      <c r="U58" t="s">
        <v>41</v>
      </c>
    </row>
    <row r="59" spans="1:33" x14ac:dyDescent="0.2">
      <c r="A59">
        <v>-370</v>
      </c>
      <c r="B59" s="10" t="s">
        <v>91</v>
      </c>
      <c r="C59" s="11" t="s">
        <v>42</v>
      </c>
      <c r="D59" s="15" t="s">
        <v>176</v>
      </c>
      <c r="E59" s="13">
        <v>10</v>
      </c>
      <c r="F59" s="13">
        <v>10</v>
      </c>
      <c r="G59" s="13">
        <f t="shared" si="0"/>
        <v>273</v>
      </c>
      <c r="H59" s="13">
        <v>371</v>
      </c>
      <c r="I59" s="14">
        <f t="shared" si="1"/>
        <v>-370.2246575342466</v>
      </c>
      <c r="J59" s="15" t="s">
        <v>177</v>
      </c>
      <c r="Q59" s="20">
        <v>66</v>
      </c>
      <c r="R59" s="19">
        <v>15.15</v>
      </c>
      <c r="S59" s="19">
        <v>126.21</v>
      </c>
      <c r="T59" s="19">
        <f>S59*1.33</f>
        <v>167.85929999999999</v>
      </c>
    </row>
    <row r="60" spans="1:33" x14ac:dyDescent="0.2">
      <c r="A60">
        <v>-370</v>
      </c>
      <c r="B60" s="10" t="s">
        <v>178</v>
      </c>
      <c r="C60" s="11" t="s">
        <v>45</v>
      </c>
      <c r="D60" s="15" t="s">
        <v>179</v>
      </c>
      <c r="E60" s="13">
        <v>20</v>
      </c>
      <c r="F60" s="13">
        <v>10</v>
      </c>
      <c r="G60" s="13">
        <f t="shared" si="0"/>
        <v>273</v>
      </c>
      <c r="H60" s="13">
        <v>371</v>
      </c>
      <c r="I60" s="14">
        <f t="shared" si="1"/>
        <v>-370.19726027397257</v>
      </c>
      <c r="J60" s="15" t="s">
        <v>174</v>
      </c>
      <c r="K60" s="10" t="s">
        <v>133</v>
      </c>
      <c r="P60">
        <v>54</v>
      </c>
      <c r="Q60" s="17">
        <v>54</v>
      </c>
      <c r="R60" s="16">
        <f>1000/Q60</f>
        <v>18.518518518518519</v>
      </c>
      <c r="S60" s="16">
        <f>8.33*R60</f>
        <v>154.25925925925927</v>
      </c>
      <c r="T60" s="16">
        <f>S60*1.33</f>
        <v>205.16481481481483</v>
      </c>
    </row>
    <row r="61" spans="1:33" x14ac:dyDescent="0.2">
      <c r="A61">
        <v>-370</v>
      </c>
      <c r="B61" s="10" t="s">
        <v>94</v>
      </c>
      <c r="D61" s="15" t="s">
        <v>180</v>
      </c>
      <c r="E61" s="13">
        <v>29</v>
      </c>
      <c r="F61" s="13">
        <v>10</v>
      </c>
      <c r="G61" s="13">
        <f t="shared" si="0"/>
        <v>273</v>
      </c>
      <c r="H61" s="13">
        <v>371</v>
      </c>
      <c r="I61" s="14">
        <f t="shared" si="1"/>
        <v>-370.17260273972602</v>
      </c>
      <c r="J61" s="15" t="s">
        <v>181</v>
      </c>
      <c r="T61" s="8"/>
      <c r="U61" t="s">
        <v>182</v>
      </c>
      <c r="V61" s="20">
        <v>180</v>
      </c>
      <c r="W61" s="19">
        <f>1000/V61</f>
        <v>5.5555555555555554</v>
      </c>
      <c r="X61" s="19">
        <f>8.33*W61</f>
        <v>46.277777777777779</v>
      </c>
      <c r="Y61" s="1">
        <v>6</v>
      </c>
      <c r="Z61" s="9">
        <v>6</v>
      </c>
      <c r="AA61" s="8">
        <f>1000/Z61</f>
        <v>166.66666666666666</v>
      </c>
      <c r="AB61" s="8">
        <f>8.33*AA61</f>
        <v>1388.3333333333333</v>
      </c>
      <c r="AC61" t="s">
        <v>41</v>
      </c>
    </row>
    <row r="62" spans="1:33" x14ac:dyDescent="0.2">
      <c r="A62">
        <v>-369</v>
      </c>
      <c r="B62" s="10" t="s">
        <v>83</v>
      </c>
      <c r="D62" s="15" t="s">
        <v>183</v>
      </c>
      <c r="E62" s="13">
        <v>14</v>
      </c>
      <c r="F62" s="13">
        <v>2</v>
      </c>
      <c r="G62" s="13">
        <f t="shared" si="0"/>
        <v>31</v>
      </c>
      <c r="H62" s="13">
        <v>369</v>
      </c>
      <c r="I62" s="14">
        <f t="shared" si="1"/>
        <v>-368.8767123287671</v>
      </c>
      <c r="J62" s="15" t="s">
        <v>184</v>
      </c>
      <c r="K62" s="10">
        <v>99</v>
      </c>
      <c r="L62" s="16">
        <v>99</v>
      </c>
      <c r="M62" s="16">
        <f>1000/L62</f>
        <v>10.1010101010101</v>
      </c>
      <c r="N62" s="16">
        <f>8.33*M62</f>
        <v>84.141414141414131</v>
      </c>
      <c r="O62" s="16">
        <f>1.613*N62</f>
        <v>135.72010101010099</v>
      </c>
      <c r="T62" s="8"/>
      <c r="Z62" s="9"/>
      <c r="AA62" s="8"/>
      <c r="AB62" s="8"/>
    </row>
    <row r="63" spans="1:33" x14ac:dyDescent="0.2">
      <c r="A63">
        <v>-369</v>
      </c>
      <c r="B63" s="10" t="s">
        <v>185</v>
      </c>
      <c r="C63" s="11" t="s">
        <v>39</v>
      </c>
      <c r="D63" s="15" t="s">
        <v>186</v>
      </c>
      <c r="E63" s="13">
        <v>14</v>
      </c>
      <c r="F63" s="13">
        <v>3</v>
      </c>
      <c r="G63" s="13">
        <f t="shared" si="0"/>
        <v>59</v>
      </c>
      <c r="H63" s="13">
        <v>369</v>
      </c>
      <c r="I63" s="14">
        <f t="shared" si="1"/>
        <v>-368.8</v>
      </c>
      <c r="J63" s="15" t="s">
        <v>187</v>
      </c>
      <c r="K63" s="10">
        <v>60</v>
      </c>
      <c r="L63" s="16">
        <v>60</v>
      </c>
      <c r="M63" s="16">
        <f>1000/L63</f>
        <v>16.666666666666668</v>
      </c>
      <c r="N63" s="16">
        <f>8.33*M63</f>
        <v>138.83333333333334</v>
      </c>
      <c r="O63" s="16">
        <f>1.613*N63</f>
        <v>223.93816666666669</v>
      </c>
      <c r="P63">
        <v>78</v>
      </c>
      <c r="Q63" s="17">
        <v>78</v>
      </c>
      <c r="R63" s="16">
        <f>1000/Q63</f>
        <v>12.820512820512821</v>
      </c>
      <c r="S63" s="16">
        <f>8.33*R63</f>
        <v>106.7948717948718</v>
      </c>
      <c r="T63" s="16">
        <f>S63*1.33</f>
        <v>142.03717948717949</v>
      </c>
      <c r="Z63" s="9"/>
      <c r="AA63" s="8"/>
      <c r="AB63" s="8"/>
    </row>
    <row r="64" spans="1:33" x14ac:dyDescent="0.2">
      <c r="A64">
        <v>-369</v>
      </c>
      <c r="B64" s="10" t="s">
        <v>185</v>
      </c>
      <c r="C64" s="11" t="s">
        <v>42</v>
      </c>
      <c r="D64" s="15" t="s">
        <v>188</v>
      </c>
      <c r="E64" s="13">
        <v>24</v>
      </c>
      <c r="F64" s="13">
        <v>3</v>
      </c>
      <c r="G64" s="13">
        <f t="shared" si="0"/>
        <v>59</v>
      </c>
      <c r="H64" s="13">
        <v>369</v>
      </c>
      <c r="I64" s="14">
        <f t="shared" si="1"/>
        <v>-368.77260273972604</v>
      </c>
      <c r="J64" s="15" t="s">
        <v>189</v>
      </c>
      <c r="L64" s="19">
        <v>60</v>
      </c>
      <c r="M64" s="19">
        <v>16.670000000000002</v>
      </c>
      <c r="N64" s="19">
        <v>138.83000000000001</v>
      </c>
      <c r="O64" s="19">
        <v>223.94</v>
      </c>
      <c r="Q64" s="20">
        <v>78</v>
      </c>
      <c r="R64" s="19">
        <v>12.82</v>
      </c>
      <c r="S64" s="19">
        <v>106.79</v>
      </c>
      <c r="T64" s="19">
        <f>S64*1.33</f>
        <v>142.03070000000002</v>
      </c>
      <c r="Z64" s="9"/>
      <c r="AA64" s="8"/>
      <c r="AB64" s="8"/>
    </row>
    <row r="65" spans="1:33" x14ac:dyDescent="0.2">
      <c r="A65">
        <v>-369</v>
      </c>
      <c r="B65" s="10" t="s">
        <v>127</v>
      </c>
      <c r="C65" s="11" t="s">
        <v>45</v>
      </c>
      <c r="D65" s="15" t="s">
        <v>190</v>
      </c>
      <c r="E65" s="13">
        <v>3</v>
      </c>
      <c r="F65" s="13">
        <v>4</v>
      </c>
      <c r="G65" s="13">
        <f t="shared" si="0"/>
        <v>90</v>
      </c>
      <c r="H65" s="13">
        <v>369</v>
      </c>
      <c r="I65" s="14">
        <f t="shared" si="1"/>
        <v>-368.74520547945207</v>
      </c>
      <c r="J65" s="15" t="s">
        <v>191</v>
      </c>
      <c r="K65" s="10">
        <v>66</v>
      </c>
      <c r="L65" s="16">
        <v>66</v>
      </c>
      <c r="M65" s="16">
        <f>1000/L65</f>
        <v>15.151515151515152</v>
      </c>
      <c r="N65" s="16">
        <f>8.33*M65</f>
        <v>126.21212121212122</v>
      </c>
      <c r="O65" s="16">
        <f>1.613*N65</f>
        <v>203.58015151515153</v>
      </c>
      <c r="P65" t="s">
        <v>82</v>
      </c>
      <c r="T65" s="8"/>
      <c r="Z65" s="9"/>
      <c r="AA65" s="8"/>
      <c r="AB65" s="8"/>
    </row>
    <row r="66" spans="1:33" x14ac:dyDescent="0.2">
      <c r="A66">
        <v>-368</v>
      </c>
      <c r="B66" s="10" t="s">
        <v>65</v>
      </c>
      <c r="D66" s="15" t="s">
        <v>192</v>
      </c>
      <c r="E66" s="13">
        <v>12</v>
      </c>
      <c r="F66" s="13">
        <v>6</v>
      </c>
      <c r="G66" s="13">
        <f t="shared" ref="G66:G129" si="2">INDEX(A$1502:A$1513,F66)</f>
        <v>151</v>
      </c>
      <c r="H66" s="13">
        <v>369</v>
      </c>
      <c r="I66" s="14">
        <f t="shared" si="1"/>
        <v>-368.55342465753426</v>
      </c>
      <c r="J66" s="15" t="s">
        <v>193</v>
      </c>
      <c r="T66" s="8"/>
      <c r="Y66" s="1">
        <v>21</v>
      </c>
      <c r="Z66" s="9">
        <v>21</v>
      </c>
      <c r="AA66" s="8">
        <f>1000/Z66</f>
        <v>47.61904761904762</v>
      </c>
      <c r="AB66" s="8">
        <f>8.33*AA66</f>
        <v>396.66666666666669</v>
      </c>
    </row>
    <row r="67" spans="1:33" x14ac:dyDescent="0.2">
      <c r="A67">
        <v>-368</v>
      </c>
      <c r="B67" s="10" t="s">
        <v>65</v>
      </c>
      <c r="C67" s="11" t="s">
        <v>39</v>
      </c>
      <c r="D67" s="15" t="s">
        <v>192</v>
      </c>
      <c r="E67" s="13">
        <v>12</v>
      </c>
      <c r="F67" s="13">
        <v>6</v>
      </c>
      <c r="G67" s="13">
        <f t="shared" si="2"/>
        <v>151</v>
      </c>
      <c r="H67" s="13">
        <v>369</v>
      </c>
      <c r="I67" s="14">
        <f t="shared" ref="I67:I130" si="3">($E67+$G67)/365-$H67</f>
        <v>-368.55342465753426</v>
      </c>
      <c r="J67" s="15" t="s">
        <v>194</v>
      </c>
      <c r="P67">
        <v>78</v>
      </c>
      <c r="Q67" s="17">
        <v>78</v>
      </c>
      <c r="R67" s="16">
        <f>1000/Q67</f>
        <v>12.820512820512821</v>
      </c>
      <c r="S67" s="16">
        <f>8.33*R67</f>
        <v>106.7948717948718</v>
      </c>
      <c r="T67" s="16">
        <f>S67*1.33</f>
        <v>142.03717948717949</v>
      </c>
      <c r="U67">
        <v>108</v>
      </c>
      <c r="V67" s="17">
        <v>108</v>
      </c>
      <c r="W67" s="16">
        <f>1000/V67</f>
        <v>9.2592592592592595</v>
      </c>
      <c r="X67" s="16">
        <f>8.33*W67</f>
        <v>77.129629629629633</v>
      </c>
      <c r="Z67" s="9"/>
      <c r="AA67" s="8"/>
      <c r="AB67" s="8"/>
      <c r="AC67">
        <v>10</v>
      </c>
      <c r="AD67" s="17">
        <v>10</v>
      </c>
      <c r="AE67" s="16">
        <f>1000/AD67</f>
        <v>100</v>
      </c>
      <c r="AF67" s="16">
        <f>8.33*AE67</f>
        <v>833</v>
      </c>
    </row>
    <row r="68" spans="1:33" x14ac:dyDescent="0.2">
      <c r="A68">
        <v>-368</v>
      </c>
      <c r="B68" s="10" t="s">
        <v>65</v>
      </c>
      <c r="C68" s="11" t="s">
        <v>42</v>
      </c>
      <c r="D68" s="15" t="s">
        <v>195</v>
      </c>
      <c r="E68" s="13">
        <v>22</v>
      </c>
      <c r="F68" s="13">
        <v>6</v>
      </c>
      <c r="G68" s="13">
        <f t="shared" si="2"/>
        <v>151</v>
      </c>
      <c r="H68" s="13">
        <v>369</v>
      </c>
      <c r="I68" s="14">
        <f t="shared" si="3"/>
        <v>-368.52602739726029</v>
      </c>
      <c r="J68" s="15" t="s">
        <v>196</v>
      </c>
      <c r="Q68" s="20">
        <v>78</v>
      </c>
      <c r="R68" s="19">
        <v>12.82</v>
      </c>
      <c r="S68" s="19">
        <v>106.79</v>
      </c>
      <c r="T68" s="19">
        <f>S68*1.33</f>
        <v>142.03070000000002</v>
      </c>
      <c r="Z68" s="9"/>
      <c r="AA68" s="8"/>
      <c r="AB68" s="8"/>
    </row>
    <row r="69" spans="1:33" x14ac:dyDescent="0.2">
      <c r="A69">
        <v>-368</v>
      </c>
      <c r="B69" s="10" t="s">
        <v>65</v>
      </c>
      <c r="C69" s="11" t="s">
        <v>45</v>
      </c>
      <c r="D69" s="15" t="s">
        <v>197</v>
      </c>
      <c r="E69" s="13">
        <v>2</v>
      </c>
      <c r="F69" s="13">
        <v>7</v>
      </c>
      <c r="G69" s="13">
        <f t="shared" si="2"/>
        <v>181</v>
      </c>
      <c r="H69" s="13">
        <v>369</v>
      </c>
      <c r="I69" s="14">
        <f t="shared" si="3"/>
        <v>-368.49863013698632</v>
      </c>
      <c r="J69" s="15" t="s">
        <v>193</v>
      </c>
      <c r="P69" t="s">
        <v>198</v>
      </c>
      <c r="Q69" s="20">
        <v>81</v>
      </c>
      <c r="R69" s="19">
        <f>1000/Q69</f>
        <v>12.345679012345679</v>
      </c>
      <c r="S69" s="19">
        <f>8.33*R69</f>
        <v>102.83950617283951</v>
      </c>
      <c r="T69" s="19">
        <f>S69*1.33</f>
        <v>136.77654320987656</v>
      </c>
      <c r="Z69" s="9"/>
      <c r="AA69" s="8"/>
      <c r="AB69" s="8"/>
    </row>
    <row r="70" spans="1:33" x14ac:dyDescent="0.2">
      <c r="A70">
        <v>-367</v>
      </c>
      <c r="B70" s="10" t="s">
        <v>199</v>
      </c>
      <c r="D70" s="15" t="s">
        <v>200</v>
      </c>
      <c r="E70" s="13">
        <v>2</v>
      </c>
      <c r="F70" s="13">
        <v>5</v>
      </c>
      <c r="G70" s="13">
        <f t="shared" si="2"/>
        <v>120</v>
      </c>
      <c r="H70" s="13">
        <v>368</v>
      </c>
      <c r="I70" s="14">
        <f t="shared" si="3"/>
        <v>-367.66575342465751</v>
      </c>
      <c r="J70" s="15" t="s">
        <v>201</v>
      </c>
      <c r="Q70" s="20"/>
      <c r="T70" s="8"/>
      <c r="Y70" s="1">
        <v>20</v>
      </c>
      <c r="Z70" s="9">
        <v>20</v>
      </c>
      <c r="AA70" s="8">
        <f>1000/Z70</f>
        <v>50</v>
      </c>
      <c r="AB70" s="8">
        <f>8.33*AA70</f>
        <v>416.5</v>
      </c>
    </row>
    <row r="71" spans="1:33" x14ac:dyDescent="0.2">
      <c r="A71">
        <v>-366</v>
      </c>
      <c r="B71" s="10" t="s">
        <v>60</v>
      </c>
      <c r="C71" s="11" t="s">
        <v>39</v>
      </c>
      <c r="D71" s="15" t="s">
        <v>202</v>
      </c>
      <c r="E71" s="13">
        <v>21</v>
      </c>
      <c r="F71" s="13">
        <v>4</v>
      </c>
      <c r="G71" s="13">
        <f t="shared" si="2"/>
        <v>90</v>
      </c>
      <c r="H71" s="13">
        <v>367</v>
      </c>
      <c r="I71" s="14">
        <f t="shared" si="3"/>
        <v>-366.6958904109589</v>
      </c>
      <c r="J71" s="15" t="s">
        <v>203</v>
      </c>
      <c r="T71" s="8"/>
      <c r="Z71" s="9"/>
      <c r="AA71" s="8"/>
      <c r="AB71" s="8"/>
      <c r="AC71">
        <v>10.5</v>
      </c>
      <c r="AD71" s="17">
        <v>10.5</v>
      </c>
      <c r="AE71" s="16">
        <f>1000/AD71</f>
        <v>95.238095238095241</v>
      </c>
      <c r="AF71" s="16">
        <f>8.33*AE71</f>
        <v>793.33333333333337</v>
      </c>
    </row>
    <row r="72" spans="1:33" x14ac:dyDescent="0.2">
      <c r="A72">
        <v>-366</v>
      </c>
      <c r="B72" s="10" t="s">
        <v>60</v>
      </c>
      <c r="C72" s="11" t="s">
        <v>42</v>
      </c>
      <c r="D72" s="15" t="s">
        <v>204</v>
      </c>
      <c r="E72" s="13">
        <v>1</v>
      </c>
      <c r="F72" s="13">
        <v>5</v>
      </c>
      <c r="G72" s="13">
        <f t="shared" si="2"/>
        <v>120</v>
      </c>
      <c r="H72" s="13">
        <v>367</v>
      </c>
      <c r="I72" s="14">
        <f t="shared" si="3"/>
        <v>-366.66849315068492</v>
      </c>
      <c r="J72" s="15" t="s">
        <v>205</v>
      </c>
      <c r="K72" s="23"/>
      <c r="P72" s="24">
        <v>60</v>
      </c>
      <c r="Q72" s="17">
        <v>60</v>
      </c>
      <c r="R72" s="16">
        <f>1000/Q72</f>
        <v>16.666666666666668</v>
      </c>
      <c r="S72" s="16">
        <f>8.33*R72</f>
        <v>138.83333333333334</v>
      </c>
      <c r="T72" s="16">
        <f>S72*1.33</f>
        <v>184.64833333333337</v>
      </c>
      <c r="Z72" s="9"/>
      <c r="AA72" s="8"/>
      <c r="AB72" s="8"/>
    </row>
    <row r="73" spans="1:33" x14ac:dyDescent="0.2">
      <c r="A73">
        <v>-366</v>
      </c>
      <c r="B73" s="10" t="s">
        <v>60</v>
      </c>
      <c r="C73" s="11" t="s">
        <v>45</v>
      </c>
      <c r="D73" s="15" t="s">
        <v>206</v>
      </c>
      <c r="E73" s="13">
        <v>11</v>
      </c>
      <c r="F73" s="13">
        <v>5</v>
      </c>
      <c r="G73" s="13">
        <f t="shared" si="2"/>
        <v>120</v>
      </c>
      <c r="H73" s="13">
        <v>367</v>
      </c>
      <c r="I73" s="14">
        <f t="shared" si="3"/>
        <v>-366.64109589041095</v>
      </c>
      <c r="J73" s="15" t="s">
        <v>207</v>
      </c>
      <c r="L73" s="19"/>
      <c r="P73" t="s">
        <v>208</v>
      </c>
      <c r="Q73" s="20"/>
      <c r="T73" s="8"/>
      <c r="Z73" s="9"/>
      <c r="AA73" s="8"/>
      <c r="AB73" s="8"/>
    </row>
    <row r="74" spans="1:33" x14ac:dyDescent="0.2">
      <c r="A74">
        <v>-366</v>
      </c>
      <c r="B74" s="10" t="s">
        <v>47</v>
      </c>
      <c r="D74" s="15" t="s">
        <v>209</v>
      </c>
      <c r="E74" s="13">
        <v>20</v>
      </c>
      <c r="F74" s="13">
        <v>5</v>
      </c>
      <c r="G74" s="13">
        <f t="shared" si="2"/>
        <v>120</v>
      </c>
      <c r="H74" s="13">
        <v>367</v>
      </c>
      <c r="I74" s="14">
        <f t="shared" si="3"/>
        <v>-366.61643835616439</v>
      </c>
      <c r="J74" s="15" t="s">
        <v>210</v>
      </c>
      <c r="T74" s="8"/>
      <c r="Z74" s="9"/>
      <c r="AA74" s="8"/>
      <c r="AB74" s="8"/>
      <c r="AG74" t="s">
        <v>82</v>
      </c>
    </row>
    <row r="75" spans="1:33" x14ac:dyDescent="0.2">
      <c r="A75">
        <v>-366</v>
      </c>
      <c r="B75" s="10" t="s">
        <v>130</v>
      </c>
      <c r="D75" s="15" t="s">
        <v>211</v>
      </c>
      <c r="E75" s="13">
        <v>19</v>
      </c>
      <c r="F75" s="13">
        <v>7</v>
      </c>
      <c r="G75" s="13">
        <f t="shared" si="2"/>
        <v>181</v>
      </c>
      <c r="H75" s="13">
        <v>367</v>
      </c>
      <c r="I75" s="14">
        <f t="shared" si="3"/>
        <v>-366.45205479452056</v>
      </c>
      <c r="J75" s="15" t="s">
        <v>212</v>
      </c>
      <c r="T75" s="8"/>
      <c r="U75" s="1">
        <v>300</v>
      </c>
      <c r="V75" s="21">
        <v>300</v>
      </c>
      <c r="W75" s="22">
        <f>1000/V75</f>
        <v>3.3333333333333335</v>
      </c>
      <c r="X75" s="22">
        <f>8.33*W75</f>
        <v>27.766666666666669</v>
      </c>
      <c r="Y75" s="1">
        <v>21</v>
      </c>
      <c r="Z75" s="9">
        <v>21</v>
      </c>
      <c r="AA75" s="8">
        <f>1000/Z75</f>
        <v>47.61904761904762</v>
      </c>
      <c r="AB75" s="8">
        <f>8.33*AA75</f>
        <v>396.66666666666669</v>
      </c>
    </row>
    <row r="76" spans="1:33" x14ac:dyDescent="0.2">
      <c r="A76">
        <v>-366</v>
      </c>
      <c r="B76" s="10" t="s">
        <v>130</v>
      </c>
      <c r="C76" s="11" t="s">
        <v>39</v>
      </c>
      <c r="D76" s="15" t="s">
        <v>211</v>
      </c>
      <c r="E76" s="13">
        <v>19</v>
      </c>
      <c r="F76" s="13">
        <v>7</v>
      </c>
      <c r="G76" s="13">
        <f t="shared" si="2"/>
        <v>181</v>
      </c>
      <c r="H76" s="13">
        <v>367</v>
      </c>
      <c r="I76" s="14">
        <f t="shared" si="3"/>
        <v>-366.45205479452056</v>
      </c>
      <c r="J76" s="15" t="s">
        <v>213</v>
      </c>
      <c r="K76" s="10" t="s">
        <v>82</v>
      </c>
      <c r="P76">
        <v>60</v>
      </c>
      <c r="Q76" s="17">
        <v>60</v>
      </c>
      <c r="R76" s="16">
        <f>1000/Q76</f>
        <v>16.666666666666668</v>
      </c>
      <c r="S76" s="16">
        <f>8.33*R76</f>
        <v>138.83333333333334</v>
      </c>
      <c r="T76" s="16">
        <f>S76*1.33</f>
        <v>184.64833333333337</v>
      </c>
      <c r="Z76" s="9"/>
      <c r="AA76" s="8"/>
      <c r="AB76" s="8"/>
      <c r="AC76" t="s">
        <v>214</v>
      </c>
      <c r="AD76" s="20">
        <v>21</v>
      </c>
      <c r="AE76" s="19">
        <f>1000/AD76</f>
        <v>47.61904761904762</v>
      </c>
      <c r="AF76" s="19">
        <f>8.33*AE76</f>
        <v>396.66666666666669</v>
      </c>
    </row>
    <row r="77" spans="1:33" x14ac:dyDescent="0.2">
      <c r="A77">
        <v>-366</v>
      </c>
      <c r="B77" s="10" t="s">
        <v>130</v>
      </c>
      <c r="C77" s="11" t="s">
        <v>42</v>
      </c>
      <c r="D77" s="15" t="s">
        <v>215</v>
      </c>
      <c r="E77" s="13">
        <v>29</v>
      </c>
      <c r="F77" s="13">
        <v>7</v>
      </c>
      <c r="G77" s="13">
        <f t="shared" si="2"/>
        <v>181</v>
      </c>
      <c r="H77" s="13">
        <v>367</v>
      </c>
      <c r="I77" s="14">
        <f t="shared" si="3"/>
        <v>-366.42465753424659</v>
      </c>
      <c r="J77" s="15" t="s">
        <v>216</v>
      </c>
      <c r="Q77" s="20">
        <v>60</v>
      </c>
      <c r="R77" s="19">
        <v>16.670000000000002</v>
      </c>
      <c r="S77" s="19">
        <v>138.83000000000001</v>
      </c>
      <c r="T77" s="19">
        <f>S77*1.33</f>
        <v>184.64390000000003</v>
      </c>
      <c r="Z77" s="9"/>
      <c r="AA77" s="8"/>
      <c r="AB77" s="8"/>
    </row>
    <row r="78" spans="1:33" x14ac:dyDescent="0.2">
      <c r="A78">
        <v>-366</v>
      </c>
      <c r="B78" s="10" t="s">
        <v>130</v>
      </c>
      <c r="C78" s="11" t="s">
        <v>45</v>
      </c>
      <c r="D78" s="15" t="s">
        <v>217</v>
      </c>
      <c r="E78" s="13">
        <v>8</v>
      </c>
      <c r="F78" s="13">
        <v>8</v>
      </c>
      <c r="G78" s="13">
        <f t="shared" si="2"/>
        <v>212</v>
      </c>
      <c r="H78" s="13">
        <v>367</v>
      </c>
      <c r="I78" s="14">
        <f t="shared" si="3"/>
        <v>-366.39726027397262</v>
      </c>
      <c r="J78" s="15" t="s">
        <v>212</v>
      </c>
      <c r="P78" t="s">
        <v>218</v>
      </c>
      <c r="Q78" s="20">
        <v>66</v>
      </c>
      <c r="R78" s="19">
        <f>1000/Q78</f>
        <v>15.151515151515152</v>
      </c>
      <c r="S78" s="19">
        <f>8.33*R78</f>
        <v>126.21212121212122</v>
      </c>
      <c r="T78" s="19">
        <f>S78*1.33</f>
        <v>167.86212121212122</v>
      </c>
      <c r="Z78" s="9"/>
      <c r="AA78" s="8"/>
      <c r="AB78" s="8"/>
    </row>
    <row r="79" spans="1:33" x14ac:dyDescent="0.2">
      <c r="A79">
        <v>-366</v>
      </c>
      <c r="B79" s="10" t="s">
        <v>219</v>
      </c>
      <c r="D79" s="15" t="s">
        <v>220</v>
      </c>
      <c r="E79" s="13">
        <v>18</v>
      </c>
      <c r="F79" s="13">
        <v>8</v>
      </c>
      <c r="G79" s="13">
        <f t="shared" si="2"/>
        <v>212</v>
      </c>
      <c r="H79" s="13">
        <v>367</v>
      </c>
      <c r="I79" s="14">
        <f t="shared" si="3"/>
        <v>-366.36986301369865</v>
      </c>
      <c r="J79" s="15" t="s">
        <v>221</v>
      </c>
      <c r="K79" s="10">
        <v>39</v>
      </c>
      <c r="L79" s="16">
        <v>39</v>
      </c>
      <c r="M79" s="16">
        <f>1000/L79</f>
        <v>25.641025641025642</v>
      </c>
      <c r="N79" s="16">
        <f>8.33*M79</f>
        <v>213.58974358974359</v>
      </c>
      <c r="O79" s="16">
        <f>1.613*N79</f>
        <v>344.52025641025642</v>
      </c>
      <c r="P79" s="1">
        <v>63</v>
      </c>
      <c r="Q79" s="9">
        <v>63</v>
      </c>
      <c r="R79" s="8">
        <f>1000/Q79</f>
        <v>15.873015873015873</v>
      </c>
      <c r="S79" s="8">
        <f>8.33*R79</f>
        <v>132.22222222222223</v>
      </c>
      <c r="T79" s="8">
        <f>S79*1.33</f>
        <v>175.85555555555558</v>
      </c>
      <c r="U79" t="s">
        <v>222</v>
      </c>
      <c r="V79" s="20">
        <v>360</v>
      </c>
      <c r="W79" s="19">
        <f>1000/V79</f>
        <v>2.7777777777777777</v>
      </c>
      <c r="X79" s="19">
        <f>8.33*W79</f>
        <v>23.138888888888889</v>
      </c>
      <c r="Z79" s="9"/>
      <c r="AA79" s="8"/>
      <c r="AB79" s="8"/>
    </row>
    <row r="80" spans="1:33" x14ac:dyDescent="0.2">
      <c r="A80">
        <v>-366</v>
      </c>
      <c r="B80" s="10" t="s">
        <v>72</v>
      </c>
      <c r="D80" s="15" t="s">
        <v>223</v>
      </c>
      <c r="E80" s="13">
        <v>16</v>
      </c>
      <c r="F80" s="13">
        <v>9</v>
      </c>
      <c r="G80" s="13">
        <f t="shared" si="2"/>
        <v>243</v>
      </c>
      <c r="H80" s="13">
        <v>367</v>
      </c>
      <c r="I80" s="14">
        <f t="shared" si="3"/>
        <v>-366.29041095890409</v>
      </c>
      <c r="J80" s="15" t="s">
        <v>224</v>
      </c>
      <c r="K80" s="2" t="s">
        <v>225</v>
      </c>
      <c r="L80" s="22">
        <v>39</v>
      </c>
      <c r="M80" s="22">
        <f>1000/L80</f>
        <v>25.641025641025642</v>
      </c>
      <c r="N80" s="22">
        <f>8.33*M80</f>
        <v>213.58974358974359</v>
      </c>
      <c r="O80" s="22">
        <f>1.613*N80</f>
        <v>344.52025641025642</v>
      </c>
      <c r="P80" t="s">
        <v>208</v>
      </c>
      <c r="T80" s="8"/>
      <c r="U80" s="1">
        <v>270</v>
      </c>
      <c r="V80" s="9">
        <v>270</v>
      </c>
      <c r="W80" s="8">
        <f>1000/V80</f>
        <v>3.7037037037037037</v>
      </c>
      <c r="X80" s="8">
        <f>8.33*W80</f>
        <v>30.851851851851851</v>
      </c>
      <c r="Y80" s="1">
        <v>24</v>
      </c>
      <c r="Z80" s="9">
        <v>24</v>
      </c>
      <c r="AA80" s="8">
        <f>1000/Z80</f>
        <v>41.666666666666664</v>
      </c>
      <c r="AB80" s="8">
        <f>8.33*AA80</f>
        <v>347.08333333333331</v>
      </c>
      <c r="AC80" s="1">
        <v>18</v>
      </c>
      <c r="AD80" s="9">
        <v>18</v>
      </c>
      <c r="AE80" s="8">
        <f>1000/AD80</f>
        <v>55.555555555555557</v>
      </c>
      <c r="AF80" s="8">
        <f>8.33*AE80</f>
        <v>462.77777777777777</v>
      </c>
      <c r="AG80" t="s">
        <v>41</v>
      </c>
    </row>
    <row r="81" spans="1:36" x14ac:dyDescent="0.2">
      <c r="A81">
        <v>-346</v>
      </c>
      <c r="B81" s="10" t="s">
        <v>36</v>
      </c>
      <c r="D81" s="15" t="s">
        <v>226</v>
      </c>
      <c r="E81" s="13">
        <v>3</v>
      </c>
      <c r="F81" s="13">
        <v>12</v>
      </c>
      <c r="G81" s="13">
        <f t="shared" si="2"/>
        <v>334</v>
      </c>
      <c r="H81" s="13">
        <v>347</v>
      </c>
      <c r="I81" s="14">
        <f t="shared" si="3"/>
        <v>-346.07671232876714</v>
      </c>
      <c r="J81" s="15" t="s">
        <v>227</v>
      </c>
      <c r="K81" s="2"/>
      <c r="L81" s="8"/>
      <c r="T81" s="8"/>
      <c r="U81" s="1"/>
      <c r="V81" s="9"/>
      <c r="Y81" s="1"/>
      <c r="Z81" s="9"/>
      <c r="AC81" s="1"/>
      <c r="AD81" s="9"/>
      <c r="AE81" s="8"/>
      <c r="AF81" s="8"/>
      <c r="AG81" s="1">
        <v>5</v>
      </c>
      <c r="AH81" s="9">
        <v>5</v>
      </c>
      <c r="AI81" s="8">
        <f>1/AH81</f>
        <v>0.2</v>
      </c>
      <c r="AJ81" s="8">
        <f>8.33*AI81</f>
        <v>1.6660000000000001</v>
      </c>
    </row>
    <row r="82" spans="1:36" x14ac:dyDescent="0.2">
      <c r="A82">
        <v>-346</v>
      </c>
      <c r="B82" s="10" t="s">
        <v>228</v>
      </c>
      <c r="C82" s="11" t="s">
        <v>39</v>
      </c>
      <c r="D82" s="15" t="s">
        <v>226</v>
      </c>
      <c r="E82" s="13">
        <v>3</v>
      </c>
      <c r="F82" s="13">
        <v>12</v>
      </c>
      <c r="G82" s="13">
        <f t="shared" si="2"/>
        <v>334</v>
      </c>
      <c r="H82" s="13">
        <v>347</v>
      </c>
      <c r="I82" s="14">
        <f t="shared" si="3"/>
        <v>-346.07671232876714</v>
      </c>
      <c r="J82" s="15" t="s">
        <v>229</v>
      </c>
      <c r="K82" s="10">
        <v>102</v>
      </c>
      <c r="L82" s="16">
        <v>102</v>
      </c>
      <c r="M82" s="16">
        <f>1000/L82</f>
        <v>9.8039215686274517</v>
      </c>
      <c r="N82" s="16">
        <f>8.33*M82</f>
        <v>81.666666666666671</v>
      </c>
      <c r="O82" s="16">
        <f>1.613*N82</f>
        <v>131.72833333333335</v>
      </c>
      <c r="T82" s="8"/>
      <c r="AE82" s="8"/>
      <c r="AF82" s="8"/>
    </row>
    <row r="83" spans="1:36" x14ac:dyDescent="0.2">
      <c r="A83">
        <v>-346</v>
      </c>
      <c r="B83" s="10" t="s">
        <v>228</v>
      </c>
      <c r="C83" s="11" t="s">
        <v>42</v>
      </c>
      <c r="D83" s="15" t="s">
        <v>230</v>
      </c>
      <c r="E83" s="13">
        <v>13</v>
      </c>
      <c r="F83" s="13">
        <v>12</v>
      </c>
      <c r="G83" s="13">
        <f t="shared" si="2"/>
        <v>334</v>
      </c>
      <c r="H83" s="13">
        <v>347</v>
      </c>
      <c r="I83" s="14">
        <f t="shared" si="3"/>
        <v>-346.04931506849317</v>
      </c>
      <c r="J83" s="15" t="s">
        <v>231</v>
      </c>
      <c r="L83" s="19">
        <v>102</v>
      </c>
      <c r="M83" s="19">
        <v>9.8000000000000007</v>
      </c>
      <c r="N83" s="19">
        <v>81.67</v>
      </c>
      <c r="O83" s="19">
        <v>131.72999999999999</v>
      </c>
      <c r="T83" s="8"/>
      <c r="AE83" s="8"/>
      <c r="AF83" s="8"/>
    </row>
    <row r="84" spans="1:36" x14ac:dyDescent="0.2">
      <c r="A84">
        <v>-346</v>
      </c>
      <c r="B84" s="10" t="s">
        <v>232</v>
      </c>
      <c r="C84" s="11" t="s">
        <v>45</v>
      </c>
      <c r="D84" s="15" t="s">
        <v>233</v>
      </c>
      <c r="E84" s="13">
        <v>23</v>
      </c>
      <c r="F84" s="13">
        <v>12</v>
      </c>
      <c r="G84" s="13">
        <f t="shared" si="2"/>
        <v>334</v>
      </c>
      <c r="H84" s="13">
        <v>347</v>
      </c>
      <c r="I84" s="14">
        <f t="shared" si="3"/>
        <v>-346.0219178082192</v>
      </c>
      <c r="J84" s="15" t="s">
        <v>227</v>
      </c>
      <c r="K84" s="10" t="s">
        <v>234</v>
      </c>
      <c r="L84" s="19">
        <v>108</v>
      </c>
      <c r="M84" s="19">
        <f>1000/L84</f>
        <v>9.2592592592592595</v>
      </c>
      <c r="N84" s="19">
        <f>8.33*M84</f>
        <v>77.129629629629633</v>
      </c>
      <c r="O84" s="19">
        <f>1.613*N84</f>
        <v>124.41009259259259</v>
      </c>
      <c r="T84" s="8"/>
      <c r="U84">
        <v>720</v>
      </c>
      <c r="V84" s="17">
        <v>720</v>
      </c>
      <c r="W84" s="16">
        <f>1000/V84</f>
        <v>1.3888888888888888</v>
      </c>
      <c r="X84" s="16">
        <f>8.33*W84</f>
        <v>11.569444444444445</v>
      </c>
      <c r="Y84" t="s">
        <v>208</v>
      </c>
      <c r="Z84" s="20">
        <v>42</v>
      </c>
      <c r="AA84" s="19">
        <f>1000/Z84</f>
        <v>23.80952380952381</v>
      </c>
      <c r="AB84" s="19">
        <f>8.33*AA84</f>
        <v>198.33333333333334</v>
      </c>
      <c r="AE84" s="8"/>
      <c r="AF84" s="8"/>
    </row>
    <row r="85" spans="1:36" x14ac:dyDescent="0.2">
      <c r="A85">
        <v>-346</v>
      </c>
      <c r="B85" s="10" t="s">
        <v>75</v>
      </c>
      <c r="D85" s="15" t="s">
        <v>235</v>
      </c>
      <c r="E85" s="13">
        <v>2</v>
      </c>
      <c r="F85" s="13">
        <v>1</v>
      </c>
      <c r="G85" s="13">
        <f t="shared" si="2"/>
        <v>0</v>
      </c>
      <c r="H85" s="13">
        <v>346</v>
      </c>
      <c r="I85" s="14">
        <f t="shared" si="3"/>
        <v>-345.99452054794523</v>
      </c>
      <c r="J85" s="15" t="s">
        <v>236</v>
      </c>
      <c r="P85" s="1">
        <v>150</v>
      </c>
      <c r="Q85" s="9">
        <v>150</v>
      </c>
      <c r="R85" s="8">
        <f>1000/Q85</f>
        <v>6.666666666666667</v>
      </c>
      <c r="S85" s="8">
        <f>8.33*R85</f>
        <v>55.533333333333339</v>
      </c>
      <c r="T85" s="8">
        <f>S85*1.33</f>
        <v>73.859333333333339</v>
      </c>
      <c r="AE85" s="8"/>
      <c r="AF85" s="8"/>
      <c r="AG85" s="1">
        <v>5</v>
      </c>
      <c r="AH85" s="9">
        <v>5</v>
      </c>
      <c r="AI85" s="8">
        <f>1/AH85</f>
        <v>0.2</v>
      </c>
      <c r="AJ85" s="8">
        <f>8.33*AI85</f>
        <v>1.6660000000000001</v>
      </c>
    </row>
    <row r="86" spans="1:36" x14ac:dyDescent="0.2">
      <c r="A86">
        <v>-346</v>
      </c>
      <c r="B86" s="10" t="s">
        <v>75</v>
      </c>
      <c r="C86" s="11" t="s">
        <v>39</v>
      </c>
      <c r="D86" s="15" t="s">
        <v>235</v>
      </c>
      <c r="E86" s="13">
        <v>2</v>
      </c>
      <c r="F86" s="13">
        <v>1</v>
      </c>
      <c r="G86" s="13">
        <f t="shared" si="2"/>
        <v>0</v>
      </c>
      <c r="H86" s="13">
        <v>346</v>
      </c>
      <c r="I86" s="14">
        <f t="shared" si="3"/>
        <v>-345.99452054794523</v>
      </c>
      <c r="J86" s="15" t="s">
        <v>237</v>
      </c>
      <c r="K86" s="10">
        <v>114</v>
      </c>
      <c r="L86" s="16">
        <v>114</v>
      </c>
      <c r="M86" s="16">
        <f>1000/L86</f>
        <v>8.7719298245614041</v>
      </c>
      <c r="N86" s="16">
        <f>8.33*M86</f>
        <v>73.070175438596493</v>
      </c>
      <c r="O86" s="16">
        <f>1.613*N86</f>
        <v>117.86219298245614</v>
      </c>
      <c r="T86" s="8"/>
      <c r="U86">
        <v>720</v>
      </c>
      <c r="V86" s="17">
        <v>720</v>
      </c>
      <c r="W86" s="16">
        <f>1000/V86</f>
        <v>1.3888888888888888</v>
      </c>
      <c r="X86" s="16">
        <f>8.33*W86</f>
        <v>11.569444444444445</v>
      </c>
      <c r="Y86" t="s">
        <v>238</v>
      </c>
      <c r="Z86" s="20">
        <v>45</v>
      </c>
      <c r="AA86" s="19">
        <f>1000/Z86</f>
        <v>22.222222222222221</v>
      </c>
      <c r="AB86" s="19">
        <f>8.33*AA86</f>
        <v>185.11111111111111</v>
      </c>
      <c r="AE86" s="8"/>
      <c r="AF86" s="8"/>
    </row>
    <row r="87" spans="1:36" x14ac:dyDescent="0.2">
      <c r="A87">
        <v>-346</v>
      </c>
      <c r="B87" s="10" t="s">
        <v>75</v>
      </c>
      <c r="C87" s="11" t="s">
        <v>42</v>
      </c>
      <c r="D87" s="15" t="s">
        <v>239</v>
      </c>
      <c r="E87" s="13">
        <v>12</v>
      </c>
      <c r="F87" s="13">
        <v>1</v>
      </c>
      <c r="G87" s="13">
        <f t="shared" si="2"/>
        <v>0</v>
      </c>
      <c r="H87" s="13">
        <v>346</v>
      </c>
      <c r="I87" s="14">
        <f t="shared" si="3"/>
        <v>-345.96712328767126</v>
      </c>
      <c r="J87" s="15" t="s">
        <v>240</v>
      </c>
      <c r="L87" s="16">
        <v>114</v>
      </c>
      <c r="M87" s="16">
        <v>8.77</v>
      </c>
      <c r="N87" s="16">
        <v>73.069999999999993</v>
      </c>
      <c r="O87" s="16">
        <v>117.86</v>
      </c>
      <c r="T87" s="8"/>
      <c r="V87" s="20">
        <v>720</v>
      </c>
      <c r="W87" s="19">
        <v>1.39</v>
      </c>
      <c r="X87" s="19">
        <v>11.57</v>
      </c>
      <c r="AA87" s="19"/>
      <c r="AB87" s="19"/>
      <c r="AE87" s="8"/>
      <c r="AF87" s="8"/>
    </row>
    <row r="88" spans="1:36" x14ac:dyDescent="0.2">
      <c r="A88">
        <v>-346</v>
      </c>
      <c r="B88" s="10" t="s">
        <v>75</v>
      </c>
      <c r="C88" s="11" t="s">
        <v>45</v>
      </c>
      <c r="D88" s="15" t="s">
        <v>241</v>
      </c>
      <c r="E88" s="13">
        <v>22</v>
      </c>
      <c r="F88" s="13">
        <v>1</v>
      </c>
      <c r="G88" s="13">
        <f t="shared" si="2"/>
        <v>0</v>
      </c>
      <c r="H88" s="13">
        <v>346</v>
      </c>
      <c r="I88" s="14">
        <f t="shared" si="3"/>
        <v>-345.93972602739728</v>
      </c>
      <c r="J88" s="15" t="s">
        <v>236</v>
      </c>
      <c r="K88" s="10">
        <v>120</v>
      </c>
      <c r="L88" s="16">
        <v>120</v>
      </c>
      <c r="M88" s="16">
        <f>1000/L88</f>
        <v>8.3333333333333339</v>
      </c>
      <c r="N88" s="16">
        <f>8.33*M88</f>
        <v>69.416666666666671</v>
      </c>
      <c r="O88" s="16">
        <f>1.613*N88</f>
        <v>111.96908333333334</v>
      </c>
      <c r="T88" s="8"/>
      <c r="U88">
        <v>900</v>
      </c>
      <c r="V88" s="17">
        <v>900</v>
      </c>
      <c r="W88" s="16">
        <f>1000/V88</f>
        <v>1.1111111111111112</v>
      </c>
      <c r="X88" s="16">
        <f>8.33*W88</f>
        <v>9.2555555555555564</v>
      </c>
      <c r="AE88" s="8"/>
      <c r="AF88" s="8"/>
    </row>
    <row r="89" spans="1:36" x14ac:dyDescent="0.2">
      <c r="A89">
        <v>-346</v>
      </c>
      <c r="B89" s="10" t="s">
        <v>83</v>
      </c>
      <c r="D89" s="15" t="s">
        <v>242</v>
      </c>
      <c r="E89" s="13">
        <v>31</v>
      </c>
      <c r="F89" s="13">
        <v>1</v>
      </c>
      <c r="G89" s="13">
        <f t="shared" si="2"/>
        <v>0</v>
      </c>
      <c r="H89" s="13">
        <v>346</v>
      </c>
      <c r="I89" s="14">
        <f t="shared" si="3"/>
        <v>-345.91506849315067</v>
      </c>
      <c r="J89" s="15" t="s">
        <v>243</v>
      </c>
      <c r="T89" s="8"/>
      <c r="U89" s="1" t="s">
        <v>244</v>
      </c>
      <c r="V89" s="21">
        <v>720</v>
      </c>
      <c r="W89" s="22">
        <f>1000/V89</f>
        <v>1.3888888888888888</v>
      </c>
      <c r="X89" s="22">
        <f>8.33*W89</f>
        <v>11.569444444444445</v>
      </c>
      <c r="Y89" s="1">
        <v>48</v>
      </c>
      <c r="Z89" s="9">
        <v>48</v>
      </c>
      <c r="AA89" s="8">
        <f>1000/Z89</f>
        <v>20.833333333333332</v>
      </c>
      <c r="AB89" s="8">
        <f>8.33*AA89</f>
        <v>173.54166666666666</v>
      </c>
      <c r="AC89" s="1">
        <v>36</v>
      </c>
      <c r="AD89" s="9">
        <v>36</v>
      </c>
      <c r="AE89" s="8">
        <f>1000/AD89</f>
        <v>27.777777777777779</v>
      </c>
      <c r="AF89" s="8">
        <f>8.33*AE89</f>
        <v>231.38888888888889</v>
      </c>
      <c r="AG89" s="1">
        <v>5</v>
      </c>
      <c r="AH89" s="9">
        <v>5</v>
      </c>
      <c r="AI89" s="8">
        <f>1/AH89</f>
        <v>0.2</v>
      </c>
      <c r="AJ89" s="8">
        <f>8.33*AI89</f>
        <v>1.6660000000000001</v>
      </c>
    </row>
    <row r="90" spans="1:36" x14ac:dyDescent="0.2">
      <c r="A90">
        <v>-346</v>
      </c>
      <c r="B90" s="10" t="s">
        <v>83</v>
      </c>
      <c r="C90" s="11" t="s">
        <v>39</v>
      </c>
      <c r="D90" s="15" t="s">
        <v>242</v>
      </c>
      <c r="E90" s="13">
        <v>31</v>
      </c>
      <c r="F90" s="13">
        <v>1</v>
      </c>
      <c r="G90" s="13">
        <f t="shared" si="2"/>
        <v>0</v>
      </c>
      <c r="H90" s="13">
        <v>346</v>
      </c>
      <c r="I90" s="14">
        <f t="shared" si="3"/>
        <v>-345.91506849315067</v>
      </c>
      <c r="J90" s="15" t="s">
        <v>245</v>
      </c>
      <c r="K90" s="10" t="s">
        <v>41</v>
      </c>
      <c r="P90">
        <v>144</v>
      </c>
      <c r="Q90" s="17">
        <v>144</v>
      </c>
      <c r="R90" s="16">
        <f>1000/Q90</f>
        <v>6.9444444444444446</v>
      </c>
      <c r="S90" s="16">
        <f>8.33*R90</f>
        <v>57.847222222222221</v>
      </c>
      <c r="T90" s="16">
        <f>S90*1.33</f>
        <v>76.936805555555566</v>
      </c>
      <c r="AA90" s="8"/>
      <c r="AB90" s="8"/>
      <c r="AE90" s="8"/>
      <c r="AF90" s="8"/>
    </row>
    <row r="91" spans="1:36" x14ac:dyDescent="0.2">
      <c r="A91">
        <v>-346</v>
      </c>
      <c r="B91" s="10" t="s">
        <v>83</v>
      </c>
      <c r="C91" s="11" t="s">
        <v>42</v>
      </c>
      <c r="D91" s="15" t="s">
        <v>246</v>
      </c>
      <c r="E91" s="13">
        <v>10</v>
      </c>
      <c r="F91" s="13">
        <v>2</v>
      </c>
      <c r="G91" s="13">
        <f t="shared" si="2"/>
        <v>31</v>
      </c>
      <c r="H91" s="13">
        <v>346</v>
      </c>
      <c r="I91" s="14">
        <f t="shared" si="3"/>
        <v>-345.8876712328767</v>
      </c>
      <c r="J91" s="15" t="s">
        <v>247</v>
      </c>
      <c r="Q91" s="17">
        <v>144</v>
      </c>
      <c r="R91" s="16">
        <v>6.94</v>
      </c>
      <c r="S91" s="16">
        <v>57.85</v>
      </c>
      <c r="T91" s="16">
        <f>S91*1.33</f>
        <v>76.9405</v>
      </c>
      <c r="AA91" s="8"/>
      <c r="AB91" s="8"/>
      <c r="AE91" s="8"/>
      <c r="AF91" s="8"/>
    </row>
    <row r="92" spans="1:36" x14ac:dyDescent="0.2">
      <c r="A92">
        <v>-346</v>
      </c>
      <c r="B92" s="10" t="s">
        <v>83</v>
      </c>
      <c r="C92" s="11" t="s">
        <v>45</v>
      </c>
      <c r="D92" s="15" t="s">
        <v>248</v>
      </c>
      <c r="E92" s="13">
        <v>20</v>
      </c>
      <c r="F92" s="13">
        <v>2</v>
      </c>
      <c r="G92" s="13">
        <f t="shared" si="2"/>
        <v>31</v>
      </c>
      <c r="H92" s="13">
        <v>346</v>
      </c>
      <c r="I92" s="14">
        <f t="shared" si="3"/>
        <v>-345.86027397260273</v>
      </c>
      <c r="J92" s="15" t="s">
        <v>243</v>
      </c>
      <c r="K92" s="10">
        <v>117</v>
      </c>
      <c r="L92" s="16">
        <v>117</v>
      </c>
      <c r="M92" s="16">
        <f>1000/L92</f>
        <v>8.5470085470085468</v>
      </c>
      <c r="N92" s="16">
        <f>8.33*M92</f>
        <v>71.196581196581192</v>
      </c>
      <c r="O92" s="16">
        <f>1.613*N92</f>
        <v>114.84008547008547</v>
      </c>
      <c r="P92">
        <v>150</v>
      </c>
      <c r="Q92" s="17">
        <v>150</v>
      </c>
      <c r="R92" s="16">
        <f>1000/Q92</f>
        <v>6.666666666666667</v>
      </c>
      <c r="S92" s="16">
        <f>8.33*R92</f>
        <v>55.533333333333339</v>
      </c>
      <c r="T92" s="16">
        <f>S92*1.33</f>
        <v>73.859333333333339</v>
      </c>
      <c r="AA92" s="8"/>
      <c r="AB92" s="8"/>
      <c r="AE92" s="8"/>
      <c r="AF92" s="8"/>
    </row>
    <row r="93" spans="1:36" x14ac:dyDescent="0.2">
      <c r="A93">
        <v>-346</v>
      </c>
      <c r="B93" s="10" t="s">
        <v>127</v>
      </c>
      <c r="D93" s="15" t="s">
        <v>249</v>
      </c>
      <c r="E93" s="13">
        <v>2</v>
      </c>
      <c r="F93" s="13">
        <v>3</v>
      </c>
      <c r="G93" s="13">
        <f t="shared" si="2"/>
        <v>59</v>
      </c>
      <c r="H93" s="13">
        <v>346</v>
      </c>
      <c r="I93" s="14">
        <f t="shared" si="3"/>
        <v>-345.83287671232875</v>
      </c>
      <c r="J93" s="15" t="s">
        <v>250</v>
      </c>
      <c r="T93" s="8"/>
      <c r="U93" s="1">
        <v>1080</v>
      </c>
      <c r="V93" s="9">
        <v>1080</v>
      </c>
      <c r="W93" s="8">
        <f>1000/V93</f>
        <v>0.92592592592592593</v>
      </c>
      <c r="X93" s="8">
        <f>8.33*W93</f>
        <v>7.7129629629629628</v>
      </c>
      <c r="Y93" s="1">
        <v>60</v>
      </c>
      <c r="Z93" s="9">
        <v>60</v>
      </c>
      <c r="AA93" s="8">
        <f>1000/Z93</f>
        <v>16.666666666666668</v>
      </c>
      <c r="AB93" s="8">
        <f>8.33*AA93</f>
        <v>138.83333333333334</v>
      </c>
      <c r="AC93" s="1">
        <v>30</v>
      </c>
      <c r="AD93" s="9">
        <v>30</v>
      </c>
      <c r="AE93" s="8">
        <f>1000/AD93</f>
        <v>33.333333333333336</v>
      </c>
      <c r="AF93" s="8">
        <f>8.33*AE93</f>
        <v>277.66666666666669</v>
      </c>
      <c r="AG93" s="1">
        <v>5</v>
      </c>
      <c r="AH93" s="9">
        <v>5</v>
      </c>
      <c r="AI93" s="8">
        <f>1/AH93</f>
        <v>0.2</v>
      </c>
      <c r="AJ93" s="8">
        <f>8.33*AI93</f>
        <v>1.6660000000000001</v>
      </c>
    </row>
    <row r="94" spans="1:36" x14ac:dyDescent="0.2">
      <c r="A94">
        <v>-346</v>
      </c>
      <c r="B94" s="10" t="s">
        <v>127</v>
      </c>
      <c r="C94" s="11" t="s">
        <v>39</v>
      </c>
      <c r="D94" s="15" t="s">
        <v>249</v>
      </c>
      <c r="E94" s="13">
        <v>2</v>
      </c>
      <c r="F94" s="13">
        <v>3</v>
      </c>
      <c r="G94" s="13">
        <f t="shared" si="2"/>
        <v>59</v>
      </c>
      <c r="H94" s="13">
        <v>346</v>
      </c>
      <c r="I94" s="14">
        <f t="shared" si="3"/>
        <v>-345.83287671232875</v>
      </c>
      <c r="J94" s="15" t="s">
        <v>251</v>
      </c>
      <c r="K94" s="10">
        <v>120</v>
      </c>
      <c r="L94" s="16">
        <v>120</v>
      </c>
      <c r="M94" s="16">
        <f>1000/L94</f>
        <v>8.3333333333333339</v>
      </c>
      <c r="N94" s="16">
        <f>8.33*M94</f>
        <v>69.416666666666671</v>
      </c>
      <c r="O94" s="16">
        <f>1.613*N94</f>
        <v>111.96908333333334</v>
      </c>
      <c r="P94">
        <v>144</v>
      </c>
      <c r="Q94" s="17">
        <v>144</v>
      </c>
      <c r="R94" s="16">
        <f>1000/Q94</f>
        <v>6.9444444444444446</v>
      </c>
      <c r="S94" s="16">
        <f>8.33*R94</f>
        <v>57.847222222222221</v>
      </c>
      <c r="T94" s="16">
        <f>S94*1.33</f>
        <v>76.936805555555566</v>
      </c>
      <c r="AA94" s="8"/>
      <c r="AB94" s="8"/>
    </row>
    <row r="95" spans="1:36" x14ac:dyDescent="0.2">
      <c r="A95">
        <v>-346</v>
      </c>
      <c r="B95" s="10" t="s">
        <v>127</v>
      </c>
      <c r="C95" s="11" t="s">
        <v>42</v>
      </c>
      <c r="D95" s="15" t="s">
        <v>252</v>
      </c>
      <c r="E95" s="13">
        <v>12</v>
      </c>
      <c r="F95" s="13">
        <v>3</v>
      </c>
      <c r="G95" s="13">
        <f t="shared" si="2"/>
        <v>59</v>
      </c>
      <c r="H95" s="13">
        <v>346</v>
      </c>
      <c r="I95" s="14">
        <f t="shared" si="3"/>
        <v>-345.80547945205478</v>
      </c>
      <c r="J95" s="15" t="s">
        <v>253</v>
      </c>
      <c r="K95" s="10" t="s">
        <v>254</v>
      </c>
      <c r="P95">
        <v>129</v>
      </c>
      <c r="Q95" s="17">
        <v>129</v>
      </c>
      <c r="R95" s="16">
        <f>1000/Q95</f>
        <v>7.7519379844961236</v>
      </c>
      <c r="S95" s="16">
        <f>8.33*R95</f>
        <v>64.573643410852711</v>
      </c>
      <c r="T95" s="16">
        <f>S95*1.33</f>
        <v>85.88294573643411</v>
      </c>
      <c r="AA95" s="8"/>
      <c r="AB95" s="8"/>
    </row>
    <row r="96" spans="1:36" x14ac:dyDescent="0.2">
      <c r="A96">
        <v>-346</v>
      </c>
      <c r="B96" s="10" t="s">
        <v>127</v>
      </c>
      <c r="C96" s="11" t="s">
        <v>45</v>
      </c>
      <c r="D96" s="15" t="s">
        <v>255</v>
      </c>
      <c r="E96" s="13">
        <v>22</v>
      </c>
      <c r="F96" s="13">
        <v>3</v>
      </c>
      <c r="G96" s="13">
        <f t="shared" si="2"/>
        <v>59</v>
      </c>
      <c r="H96" s="13">
        <v>346</v>
      </c>
      <c r="I96" s="14">
        <f t="shared" si="3"/>
        <v>-345.77808219178081</v>
      </c>
      <c r="J96" s="15" t="s">
        <v>250</v>
      </c>
      <c r="K96" s="10">
        <v>69</v>
      </c>
      <c r="L96" s="16">
        <v>69</v>
      </c>
      <c r="M96" s="16">
        <f>1000/L96</f>
        <v>14.492753623188406</v>
      </c>
      <c r="N96" s="16">
        <f>8.33*M96</f>
        <v>120.72463768115942</v>
      </c>
      <c r="O96" s="16">
        <f>1.613*N96</f>
        <v>194.72884057971015</v>
      </c>
      <c r="P96">
        <v>138</v>
      </c>
      <c r="Q96" s="17">
        <v>138</v>
      </c>
      <c r="R96" s="16">
        <f>1000/Q96</f>
        <v>7.2463768115942031</v>
      </c>
      <c r="S96" s="16">
        <f>8.33*R96</f>
        <v>60.362318840579711</v>
      </c>
      <c r="T96" s="16">
        <f>S96*1.33</f>
        <v>80.281884057971013</v>
      </c>
      <c r="AA96" s="8"/>
      <c r="AB96" s="8"/>
    </row>
    <row r="97" spans="1:36" x14ac:dyDescent="0.2">
      <c r="A97">
        <v>-343</v>
      </c>
      <c r="B97" s="10" t="s">
        <v>75</v>
      </c>
      <c r="D97" s="15" t="s">
        <v>256</v>
      </c>
      <c r="E97" s="13">
        <v>29</v>
      </c>
      <c r="F97" s="13">
        <v>12</v>
      </c>
      <c r="G97" s="13">
        <f t="shared" si="2"/>
        <v>334</v>
      </c>
      <c r="H97" s="13">
        <v>344</v>
      </c>
      <c r="I97" s="14">
        <f t="shared" si="3"/>
        <v>-343.00547945205477</v>
      </c>
      <c r="J97" s="15" t="s">
        <v>257</v>
      </c>
      <c r="Y97" s="1">
        <v>90</v>
      </c>
      <c r="Z97" s="9">
        <v>90</v>
      </c>
      <c r="AA97" s="8">
        <f>1000/Z97</f>
        <v>11.111111111111111</v>
      </c>
      <c r="AB97" s="8">
        <f>8.33*AA97</f>
        <v>92.555555555555557</v>
      </c>
      <c r="AC97" s="1" t="s">
        <v>258</v>
      </c>
      <c r="AD97" s="21">
        <v>42</v>
      </c>
      <c r="AE97" s="22">
        <f>1000/AD97</f>
        <v>23.80952380952381</v>
      </c>
      <c r="AF97" s="22">
        <f>8.33*AE97</f>
        <v>198.33333333333334</v>
      </c>
      <c r="AG97" s="1">
        <v>8</v>
      </c>
      <c r="AH97" s="9">
        <v>8</v>
      </c>
      <c r="AI97" s="8">
        <f>1/AH97</f>
        <v>0.125</v>
      </c>
      <c r="AJ97" s="8">
        <f>8.33*AI97</f>
        <v>1.04125</v>
      </c>
    </row>
    <row r="98" spans="1:36" x14ac:dyDescent="0.2">
      <c r="A98">
        <v>-343</v>
      </c>
      <c r="B98" s="10" t="s">
        <v>154</v>
      </c>
      <c r="C98" s="11" t="s">
        <v>39</v>
      </c>
      <c r="D98" s="15" t="s">
        <v>259</v>
      </c>
      <c r="E98" s="13">
        <v>27</v>
      </c>
      <c r="F98" s="13">
        <v>1</v>
      </c>
      <c r="G98" s="13">
        <f t="shared" si="2"/>
        <v>0</v>
      </c>
      <c r="H98" s="13">
        <v>343</v>
      </c>
      <c r="I98" s="14">
        <f t="shared" si="3"/>
        <v>-342.92602739726027</v>
      </c>
      <c r="J98" s="15" t="s">
        <v>260</v>
      </c>
      <c r="P98">
        <v>300</v>
      </c>
      <c r="Q98" s="17">
        <v>300</v>
      </c>
      <c r="R98" s="16">
        <f>1000/Q98</f>
        <v>3.3333333333333335</v>
      </c>
      <c r="S98" s="16">
        <f>8.33*R98</f>
        <v>27.766666666666669</v>
      </c>
      <c r="T98" s="16">
        <f>S98*1.33</f>
        <v>36.92966666666667</v>
      </c>
    </row>
    <row r="99" spans="1:36" x14ac:dyDescent="0.2">
      <c r="A99">
        <v>-343</v>
      </c>
      <c r="B99" s="10" t="s">
        <v>154</v>
      </c>
      <c r="C99" s="11" t="s">
        <v>42</v>
      </c>
      <c r="D99" s="15" t="s">
        <v>261</v>
      </c>
      <c r="E99" s="13">
        <v>6</v>
      </c>
      <c r="F99" s="13">
        <v>2</v>
      </c>
      <c r="G99" s="13">
        <f t="shared" si="2"/>
        <v>31</v>
      </c>
      <c r="H99" s="13">
        <v>343</v>
      </c>
      <c r="I99" s="14">
        <f t="shared" si="3"/>
        <v>-342.8986301369863</v>
      </c>
      <c r="J99" s="15" t="s">
        <v>262</v>
      </c>
      <c r="Q99" s="17">
        <v>300</v>
      </c>
      <c r="R99" s="16">
        <f>1000/Q99</f>
        <v>3.3333333333333335</v>
      </c>
      <c r="S99" s="16">
        <f>8.33*R99</f>
        <v>27.766666666666669</v>
      </c>
      <c r="T99" s="16">
        <f>S99*1.33</f>
        <v>36.92966666666667</v>
      </c>
    </row>
    <row r="100" spans="1:36" x14ac:dyDescent="0.2">
      <c r="A100">
        <v>-343</v>
      </c>
      <c r="B100" s="10" t="s">
        <v>154</v>
      </c>
      <c r="C100" s="11" t="s">
        <v>45</v>
      </c>
      <c r="D100" s="15" t="s">
        <v>263</v>
      </c>
      <c r="E100" s="13">
        <v>16</v>
      </c>
      <c r="F100" s="13">
        <v>2</v>
      </c>
      <c r="G100" s="13">
        <f t="shared" si="2"/>
        <v>31</v>
      </c>
      <c r="H100" s="13">
        <v>343</v>
      </c>
      <c r="I100" s="14">
        <f t="shared" si="3"/>
        <v>-342.87123287671233</v>
      </c>
      <c r="J100" s="15" t="s">
        <v>264</v>
      </c>
      <c r="P100" t="s">
        <v>41</v>
      </c>
    </row>
    <row r="101" spans="1:36" x14ac:dyDescent="0.2">
      <c r="A101">
        <v>-342</v>
      </c>
      <c r="B101" s="10" t="s">
        <v>219</v>
      </c>
      <c r="D101" s="15" t="s">
        <v>265</v>
      </c>
      <c r="E101" s="13">
        <v>24</v>
      </c>
      <c r="F101" s="13">
        <v>4</v>
      </c>
      <c r="G101" s="13">
        <f t="shared" si="2"/>
        <v>90</v>
      </c>
      <c r="H101" s="13">
        <v>343</v>
      </c>
      <c r="I101" s="14">
        <f t="shared" si="3"/>
        <v>-342.68767123287671</v>
      </c>
      <c r="J101" s="15" t="s">
        <v>266</v>
      </c>
      <c r="P101" t="s">
        <v>267</v>
      </c>
      <c r="Q101" s="20">
        <v>249</v>
      </c>
      <c r="R101" s="19">
        <f>1000/Q101</f>
        <v>4.0160642570281126</v>
      </c>
      <c r="S101" s="19">
        <f>8.33*R101</f>
        <v>33.453815261044177</v>
      </c>
      <c r="T101" s="19">
        <f>S101*1.33</f>
        <v>44.493574297188758</v>
      </c>
    </row>
    <row r="102" spans="1:36" x14ac:dyDescent="0.2">
      <c r="A102">
        <v>-338</v>
      </c>
      <c r="B102" s="10" t="s">
        <v>60</v>
      </c>
      <c r="C102" s="11" t="s">
        <v>39</v>
      </c>
      <c r="D102" s="15" t="s">
        <v>268</v>
      </c>
      <c r="E102" s="13">
        <v>12</v>
      </c>
      <c r="F102" s="13">
        <v>4</v>
      </c>
      <c r="G102" s="13">
        <f t="shared" si="2"/>
        <v>90</v>
      </c>
      <c r="H102" s="13">
        <v>339</v>
      </c>
      <c r="I102" s="14">
        <f t="shared" si="3"/>
        <v>-338.72054794520545</v>
      </c>
      <c r="J102" s="15" t="s">
        <v>269</v>
      </c>
      <c r="Y102" t="s">
        <v>270</v>
      </c>
      <c r="Z102" s="20">
        <v>72</v>
      </c>
      <c r="AA102" s="19">
        <f>1000/Z102</f>
        <v>13.888888888888889</v>
      </c>
      <c r="AB102" s="19">
        <f>8.33*AA102</f>
        <v>115.69444444444444</v>
      </c>
    </row>
    <row r="103" spans="1:36" x14ac:dyDescent="0.2">
      <c r="A103">
        <v>-338</v>
      </c>
      <c r="B103" s="10" t="s">
        <v>60</v>
      </c>
      <c r="C103" s="11" t="s">
        <v>42</v>
      </c>
      <c r="D103" s="15" t="s">
        <v>271</v>
      </c>
      <c r="E103" s="13">
        <v>22</v>
      </c>
      <c r="F103" s="13">
        <v>4</v>
      </c>
      <c r="G103" s="13">
        <f t="shared" si="2"/>
        <v>90</v>
      </c>
      <c r="H103" s="13">
        <v>339</v>
      </c>
      <c r="I103" s="14">
        <f t="shared" si="3"/>
        <v>-338.69315068493148</v>
      </c>
      <c r="J103" s="15" t="s">
        <v>272</v>
      </c>
      <c r="Z103" s="20">
        <v>72</v>
      </c>
      <c r="AA103" s="19">
        <v>13.89</v>
      </c>
      <c r="AB103" s="19">
        <v>115.69</v>
      </c>
    </row>
    <row r="104" spans="1:36" x14ac:dyDescent="0.2">
      <c r="A104">
        <v>-338</v>
      </c>
      <c r="B104" s="10" t="s">
        <v>60</v>
      </c>
      <c r="C104" s="11" t="s">
        <v>45</v>
      </c>
      <c r="D104" s="15" t="s">
        <v>273</v>
      </c>
      <c r="E104" s="13">
        <v>2</v>
      </c>
      <c r="F104" s="13">
        <v>5</v>
      </c>
      <c r="G104" s="13">
        <f t="shared" si="2"/>
        <v>120</v>
      </c>
      <c r="H104" s="13">
        <v>339</v>
      </c>
      <c r="I104" s="14">
        <f t="shared" si="3"/>
        <v>-338.66575342465751</v>
      </c>
      <c r="J104" s="15" t="s">
        <v>274</v>
      </c>
      <c r="Y104" s="24">
        <v>84</v>
      </c>
      <c r="Z104" s="20">
        <v>84</v>
      </c>
      <c r="AA104" s="19">
        <f>1000/Z104</f>
        <v>11.904761904761905</v>
      </c>
      <c r="AB104" s="19">
        <f>8.33*AA104</f>
        <v>99.166666666666671</v>
      </c>
    </row>
    <row r="105" spans="1:36" x14ac:dyDescent="0.2">
      <c r="A105">
        <v>-333</v>
      </c>
      <c r="B105" s="10" t="s">
        <v>47</v>
      </c>
      <c r="D105" s="15" t="s">
        <v>275</v>
      </c>
      <c r="E105" s="13">
        <v>17</v>
      </c>
      <c r="F105" s="13">
        <v>5</v>
      </c>
      <c r="G105" s="13">
        <f t="shared" si="2"/>
        <v>120</v>
      </c>
      <c r="H105" s="13">
        <v>334</v>
      </c>
      <c r="I105" s="14">
        <f t="shared" si="3"/>
        <v>-333.62465753424658</v>
      </c>
      <c r="J105" s="15" t="s">
        <v>276</v>
      </c>
      <c r="P105" s="1">
        <v>264</v>
      </c>
      <c r="Q105" s="9">
        <v>264</v>
      </c>
      <c r="R105" s="8">
        <f>1000/Q105</f>
        <v>3.7878787878787881</v>
      </c>
      <c r="S105" s="8">
        <f>8.33*R105</f>
        <v>31.553030303030305</v>
      </c>
      <c r="T105" s="8">
        <f>S105*1.33</f>
        <v>41.965530303030306</v>
      </c>
      <c r="U105" s="1" t="s">
        <v>277</v>
      </c>
      <c r="V105" s="20"/>
    </row>
    <row r="106" spans="1:36" x14ac:dyDescent="0.2">
      <c r="A106">
        <v>-333</v>
      </c>
      <c r="B106" s="10" t="s">
        <v>130</v>
      </c>
      <c r="D106" s="15" t="s">
        <v>278</v>
      </c>
      <c r="E106" s="13">
        <v>15</v>
      </c>
      <c r="F106" s="13">
        <v>7</v>
      </c>
      <c r="G106" s="13">
        <f t="shared" si="2"/>
        <v>181</v>
      </c>
      <c r="H106" s="13">
        <v>334</v>
      </c>
      <c r="I106" s="14">
        <f t="shared" si="3"/>
        <v>-333.46301369863016</v>
      </c>
      <c r="J106" s="15" t="s">
        <v>279</v>
      </c>
      <c r="P106" s="1">
        <v>258</v>
      </c>
      <c r="Q106" s="9">
        <v>258</v>
      </c>
      <c r="R106" s="8">
        <f>1000/Q106</f>
        <v>3.8759689922480618</v>
      </c>
      <c r="S106" s="8">
        <f>8.33*R106</f>
        <v>32.286821705426355</v>
      </c>
      <c r="T106" s="8">
        <f>S106*1.33</f>
        <v>42.941472868217055</v>
      </c>
    </row>
    <row r="107" spans="1:36" x14ac:dyDescent="0.2">
      <c r="A107">
        <v>-333</v>
      </c>
      <c r="B107" s="10" t="s">
        <v>130</v>
      </c>
      <c r="C107" s="11" t="s">
        <v>39</v>
      </c>
      <c r="D107" s="15" t="s">
        <v>278</v>
      </c>
      <c r="E107" s="13">
        <v>15</v>
      </c>
      <c r="F107" s="13">
        <v>7</v>
      </c>
      <c r="G107" s="13">
        <f t="shared" si="2"/>
        <v>181</v>
      </c>
      <c r="H107" s="13">
        <v>334</v>
      </c>
      <c r="I107" s="14">
        <f t="shared" si="3"/>
        <v>-333.46301369863016</v>
      </c>
      <c r="J107" s="15" t="s">
        <v>280</v>
      </c>
      <c r="U107" t="s">
        <v>281</v>
      </c>
      <c r="V107" s="20">
        <v>984</v>
      </c>
      <c r="W107" s="19">
        <f>1000/V107</f>
        <v>1.0162601626016261</v>
      </c>
      <c r="X107" s="19">
        <f>8.33*W107</f>
        <v>8.4654471544715459</v>
      </c>
    </row>
    <row r="108" spans="1:36" x14ac:dyDescent="0.2">
      <c r="A108">
        <v>-333</v>
      </c>
      <c r="B108" s="10" t="s">
        <v>130</v>
      </c>
      <c r="C108" s="11" t="s">
        <v>42</v>
      </c>
      <c r="D108" s="15" t="s">
        <v>282</v>
      </c>
      <c r="E108" s="13">
        <v>25</v>
      </c>
      <c r="F108" s="13">
        <v>7</v>
      </c>
      <c r="G108" s="13">
        <f t="shared" si="2"/>
        <v>181</v>
      </c>
      <c r="H108" s="13">
        <v>334</v>
      </c>
      <c r="I108" s="14">
        <f t="shared" si="3"/>
        <v>-333.43561643835619</v>
      </c>
      <c r="J108" s="15" t="s">
        <v>283</v>
      </c>
    </row>
    <row r="109" spans="1:36" x14ac:dyDescent="0.2">
      <c r="A109">
        <v>-333</v>
      </c>
      <c r="B109" s="10" t="s">
        <v>130</v>
      </c>
      <c r="C109" s="11" t="s">
        <v>45</v>
      </c>
      <c r="D109" s="15" t="s">
        <v>284</v>
      </c>
      <c r="E109" s="13">
        <v>4</v>
      </c>
      <c r="F109" s="13">
        <v>8</v>
      </c>
      <c r="G109" s="13">
        <f t="shared" si="2"/>
        <v>212</v>
      </c>
      <c r="H109" s="13">
        <v>334</v>
      </c>
      <c r="I109" s="14">
        <f t="shared" si="3"/>
        <v>-333.40821917808222</v>
      </c>
      <c r="J109" s="15" t="s">
        <v>279</v>
      </c>
      <c r="U109" t="s">
        <v>41</v>
      </c>
    </row>
    <row r="110" spans="1:36" x14ac:dyDescent="0.2">
      <c r="A110">
        <v>-332</v>
      </c>
      <c r="B110" s="10" t="s">
        <v>285</v>
      </c>
      <c r="D110" s="15" t="s">
        <v>286</v>
      </c>
      <c r="E110" s="13">
        <v>2</v>
      </c>
      <c r="F110" s="13">
        <v>8</v>
      </c>
      <c r="G110" s="13">
        <f t="shared" si="2"/>
        <v>212</v>
      </c>
      <c r="H110" s="13">
        <v>333</v>
      </c>
      <c r="I110" s="14">
        <f t="shared" si="3"/>
        <v>-332.41369863013699</v>
      </c>
      <c r="J110" s="15" t="s">
        <v>287</v>
      </c>
      <c r="AC110" s="1">
        <v>30</v>
      </c>
      <c r="AD110" s="9">
        <v>30</v>
      </c>
      <c r="AE110" s="8">
        <f>1000/AD110</f>
        <v>33.333333333333336</v>
      </c>
      <c r="AF110" s="8">
        <f>8.33*AE110</f>
        <v>277.66666666666669</v>
      </c>
      <c r="AG110" s="1">
        <v>6</v>
      </c>
      <c r="AH110" s="9">
        <v>6</v>
      </c>
      <c r="AI110" s="8">
        <f>1/AH110</f>
        <v>0.16666666666666666</v>
      </c>
      <c r="AJ110" s="8">
        <f>8.33*AI110</f>
        <v>1.3883333333333332</v>
      </c>
    </row>
    <row r="111" spans="1:36" x14ac:dyDescent="0.2">
      <c r="A111">
        <v>-332</v>
      </c>
      <c r="B111" s="10" t="s">
        <v>288</v>
      </c>
      <c r="C111" s="11" t="s">
        <v>39</v>
      </c>
      <c r="D111" s="15" t="s">
        <v>289</v>
      </c>
      <c r="E111" s="13">
        <v>1</v>
      </c>
      <c r="F111" s="13">
        <v>9</v>
      </c>
      <c r="G111" s="13">
        <f t="shared" si="2"/>
        <v>243</v>
      </c>
      <c r="H111" s="13">
        <v>333</v>
      </c>
      <c r="I111" s="14">
        <f t="shared" si="3"/>
        <v>-332.33150684931508</v>
      </c>
      <c r="J111" s="15" t="s">
        <v>290</v>
      </c>
      <c r="K111" s="10" t="s">
        <v>41</v>
      </c>
      <c r="P111" t="s">
        <v>291</v>
      </c>
      <c r="Q111" s="17">
        <v>168</v>
      </c>
      <c r="R111" s="16">
        <f>1000/Q111</f>
        <v>5.9523809523809526</v>
      </c>
      <c r="S111" s="16">
        <f>8.33*R111</f>
        <v>49.583333333333336</v>
      </c>
      <c r="T111" s="16">
        <f>S111*1.33</f>
        <v>65.94583333333334</v>
      </c>
      <c r="AE111" s="8"/>
      <c r="AF111" s="8"/>
    </row>
    <row r="112" spans="1:36" x14ac:dyDescent="0.2">
      <c r="A112">
        <v>-332</v>
      </c>
      <c r="B112" s="10" t="s">
        <v>288</v>
      </c>
      <c r="C112" s="11" t="s">
        <v>42</v>
      </c>
      <c r="D112" s="15" t="s">
        <v>292</v>
      </c>
      <c r="E112" s="13">
        <v>11</v>
      </c>
      <c r="F112" s="13">
        <v>9</v>
      </c>
      <c r="G112" s="13">
        <f t="shared" si="2"/>
        <v>243</v>
      </c>
      <c r="H112" s="13">
        <v>333</v>
      </c>
      <c r="I112" s="14">
        <f t="shared" si="3"/>
        <v>-332.3041095890411</v>
      </c>
      <c r="J112" s="15" t="s">
        <v>293</v>
      </c>
      <c r="Q112" s="20">
        <v>168</v>
      </c>
      <c r="R112" s="19">
        <v>5.95</v>
      </c>
      <c r="S112" s="19">
        <v>49.58</v>
      </c>
      <c r="T112" s="19">
        <f>S112*1.33</f>
        <v>65.941400000000002</v>
      </c>
      <c r="AE112" s="8"/>
      <c r="AF112" s="8"/>
    </row>
    <row r="113" spans="1:37" x14ac:dyDescent="0.2">
      <c r="A113">
        <v>-332</v>
      </c>
      <c r="B113" s="10" t="s">
        <v>288</v>
      </c>
      <c r="C113" s="11" t="s">
        <v>45</v>
      </c>
      <c r="D113" s="15" t="s">
        <v>294</v>
      </c>
      <c r="E113" s="13">
        <v>21</v>
      </c>
      <c r="F113" s="13">
        <v>9</v>
      </c>
      <c r="G113" s="13">
        <f t="shared" si="2"/>
        <v>243</v>
      </c>
      <c r="H113" s="13">
        <v>333</v>
      </c>
      <c r="I113" s="14">
        <f t="shared" si="3"/>
        <v>-332.27671232876713</v>
      </c>
      <c r="J113" s="15" t="s">
        <v>295</v>
      </c>
      <c r="K113" s="10">
        <v>138</v>
      </c>
      <c r="L113" s="16">
        <v>138</v>
      </c>
      <c r="M113" s="16">
        <f>1000/L113</f>
        <v>7.2463768115942031</v>
      </c>
      <c r="N113" s="16">
        <f>8.33*M113</f>
        <v>60.362318840579711</v>
      </c>
      <c r="O113" s="16">
        <f>1.613*N113</f>
        <v>97.364420289855076</v>
      </c>
      <c r="P113" t="s">
        <v>41</v>
      </c>
      <c r="T113" s="8"/>
      <c r="AE113" s="8"/>
      <c r="AF113" s="8"/>
    </row>
    <row r="114" spans="1:37" x14ac:dyDescent="0.2">
      <c r="A114">
        <v>-332</v>
      </c>
      <c r="B114" s="10" t="s">
        <v>94</v>
      </c>
      <c r="D114" s="15" t="s">
        <v>296</v>
      </c>
      <c r="E114" s="13">
        <v>29</v>
      </c>
      <c r="F114" s="13">
        <v>10</v>
      </c>
      <c r="G114" s="13">
        <f t="shared" si="2"/>
        <v>273</v>
      </c>
      <c r="H114" s="13">
        <v>333</v>
      </c>
      <c r="I114" s="14">
        <f t="shared" si="3"/>
        <v>-332.17260273972602</v>
      </c>
      <c r="J114" s="15" t="s">
        <v>297</v>
      </c>
      <c r="T114" s="8"/>
      <c r="Y114" s="1">
        <v>60</v>
      </c>
      <c r="Z114" s="9">
        <v>60</v>
      </c>
      <c r="AA114" s="8">
        <f>1000/Z114</f>
        <v>16.666666666666668</v>
      </c>
      <c r="AB114" s="8">
        <f>8.33*AA114</f>
        <v>138.83333333333334</v>
      </c>
      <c r="AC114" s="1">
        <v>36</v>
      </c>
      <c r="AD114" s="9">
        <v>36</v>
      </c>
      <c r="AE114" s="8">
        <f>1000/AD114</f>
        <v>27.777777777777779</v>
      </c>
      <c r="AF114" s="8">
        <f>8.33*AE114</f>
        <v>231.38888888888889</v>
      </c>
      <c r="AG114" s="1">
        <v>6</v>
      </c>
      <c r="AH114" s="9">
        <v>6</v>
      </c>
      <c r="AI114" s="8">
        <f>1/AH114</f>
        <v>0.16666666666666666</v>
      </c>
      <c r="AJ114" s="8">
        <f>8.33*AI114</f>
        <v>1.3883333333333332</v>
      </c>
    </row>
    <row r="115" spans="1:37" x14ac:dyDescent="0.2">
      <c r="A115">
        <v>-332</v>
      </c>
      <c r="B115" s="10" t="s">
        <v>94</v>
      </c>
      <c r="C115" s="11" t="s">
        <v>39</v>
      </c>
      <c r="D115" s="15" t="s">
        <v>296</v>
      </c>
      <c r="E115" s="13">
        <v>29</v>
      </c>
      <c r="F115" s="13">
        <v>10</v>
      </c>
      <c r="G115" s="13">
        <f t="shared" si="2"/>
        <v>273</v>
      </c>
      <c r="H115" s="13">
        <v>333</v>
      </c>
      <c r="I115" s="14">
        <f t="shared" si="3"/>
        <v>-332.17260273972602</v>
      </c>
      <c r="J115" s="15" t="s">
        <v>298</v>
      </c>
      <c r="K115" s="10">
        <v>144</v>
      </c>
      <c r="L115" s="19">
        <v>144</v>
      </c>
      <c r="M115" s="19">
        <f>1000/L115</f>
        <v>6.9444444444444446</v>
      </c>
      <c r="N115" s="19">
        <f>8.33*M115</f>
        <v>57.847222222222221</v>
      </c>
      <c r="O115" s="19">
        <f>1.613*N115</f>
        <v>93.307569444444439</v>
      </c>
      <c r="T115" s="8"/>
      <c r="AE115" s="8"/>
      <c r="AF115" s="8"/>
    </row>
    <row r="116" spans="1:37" x14ac:dyDescent="0.2">
      <c r="A116">
        <v>-332</v>
      </c>
      <c r="B116" s="10" t="s">
        <v>94</v>
      </c>
      <c r="C116" s="11" t="s">
        <v>42</v>
      </c>
      <c r="D116" s="15" t="s">
        <v>299</v>
      </c>
      <c r="E116" s="13">
        <v>8</v>
      </c>
      <c r="F116" s="13">
        <v>11</v>
      </c>
      <c r="G116" s="13">
        <f t="shared" si="2"/>
        <v>304</v>
      </c>
      <c r="H116" s="13">
        <v>333</v>
      </c>
      <c r="I116" s="14">
        <f t="shared" si="3"/>
        <v>-332.14520547945204</v>
      </c>
      <c r="J116" s="15" t="s">
        <v>300</v>
      </c>
      <c r="K116" s="10" t="s">
        <v>301</v>
      </c>
      <c r="L116" s="19">
        <v>150</v>
      </c>
      <c r="M116" s="19">
        <f>1000/L116</f>
        <v>6.666666666666667</v>
      </c>
      <c r="N116" s="19">
        <f>8.33*M116</f>
        <v>55.533333333333339</v>
      </c>
      <c r="O116" s="19">
        <f>1.613*N116</f>
        <v>89.575266666666678</v>
      </c>
      <c r="T116" s="8"/>
      <c r="AE116" s="8"/>
      <c r="AF116" s="8"/>
    </row>
    <row r="117" spans="1:37" x14ac:dyDescent="0.2">
      <c r="A117">
        <v>-332</v>
      </c>
      <c r="B117" s="10" t="s">
        <v>94</v>
      </c>
      <c r="C117" s="11" t="s">
        <v>45</v>
      </c>
      <c r="D117" s="15" t="s">
        <v>302</v>
      </c>
      <c r="E117" s="13">
        <v>18</v>
      </c>
      <c r="F117" s="13">
        <v>11</v>
      </c>
      <c r="G117" s="13">
        <f t="shared" si="2"/>
        <v>304</v>
      </c>
      <c r="H117" s="13">
        <v>333</v>
      </c>
      <c r="I117" s="14">
        <f t="shared" si="3"/>
        <v>-332.11780821917807</v>
      </c>
      <c r="J117" s="15" t="s">
        <v>297</v>
      </c>
      <c r="T117" s="8"/>
      <c r="U117">
        <v>720</v>
      </c>
      <c r="V117" s="17">
        <v>720</v>
      </c>
      <c r="W117" s="16">
        <f>1000/V117</f>
        <v>1.3888888888888888</v>
      </c>
      <c r="X117" s="16">
        <f>8.33*W117</f>
        <v>11.569444444444445</v>
      </c>
      <c r="AE117" s="8"/>
      <c r="AF117" s="8"/>
    </row>
    <row r="118" spans="1:37" x14ac:dyDescent="0.2">
      <c r="A118">
        <v>-330</v>
      </c>
      <c r="B118" s="10" t="s">
        <v>72</v>
      </c>
      <c r="D118" s="15" t="s">
        <v>303</v>
      </c>
      <c r="E118" s="13">
        <v>8</v>
      </c>
      <c r="F118" s="13">
        <v>9</v>
      </c>
      <c r="G118" s="13">
        <f t="shared" si="2"/>
        <v>243</v>
      </c>
      <c r="H118" s="13">
        <v>331</v>
      </c>
      <c r="I118" s="14">
        <f t="shared" si="3"/>
        <v>-330.31232876712329</v>
      </c>
      <c r="J118" s="15" t="s">
        <v>304</v>
      </c>
      <c r="T118" s="8"/>
      <c r="AC118" s="1">
        <v>36</v>
      </c>
      <c r="AD118" s="9">
        <v>36</v>
      </c>
      <c r="AE118" s="8">
        <f>1000/AD118</f>
        <v>27.777777777777779</v>
      </c>
      <c r="AF118" s="8">
        <f>8.33*AE118</f>
        <v>231.38888888888889</v>
      </c>
      <c r="AG118" s="1">
        <v>5</v>
      </c>
      <c r="AH118" s="9">
        <v>5</v>
      </c>
      <c r="AI118" s="8">
        <f>1/AH118</f>
        <v>0.2</v>
      </c>
      <c r="AJ118" s="8">
        <f>8.33*AI118</f>
        <v>1.6660000000000001</v>
      </c>
    </row>
    <row r="119" spans="1:37" x14ac:dyDescent="0.2">
      <c r="A119">
        <v>-330</v>
      </c>
      <c r="B119" s="10" t="s">
        <v>137</v>
      </c>
      <c r="C119" s="11" t="s">
        <v>39</v>
      </c>
      <c r="D119" s="15" t="s">
        <v>303</v>
      </c>
      <c r="E119" s="13">
        <v>8</v>
      </c>
      <c r="F119" s="13">
        <v>9</v>
      </c>
      <c r="G119" s="13">
        <f t="shared" si="2"/>
        <v>243</v>
      </c>
      <c r="H119" s="13">
        <v>331</v>
      </c>
      <c r="I119" s="14">
        <f t="shared" si="3"/>
        <v>-330.31232876712329</v>
      </c>
      <c r="J119" s="15" t="s">
        <v>305</v>
      </c>
      <c r="T119" s="8"/>
      <c r="U119">
        <v>540</v>
      </c>
      <c r="V119" s="17">
        <v>540</v>
      </c>
      <c r="W119" s="16">
        <f>1000/V119</f>
        <v>1.8518518518518519</v>
      </c>
      <c r="X119" s="16">
        <f>8.33*W119</f>
        <v>15.425925925925926</v>
      </c>
    </row>
    <row r="120" spans="1:37" x14ac:dyDescent="0.2">
      <c r="A120">
        <v>-330</v>
      </c>
      <c r="B120" s="10" t="s">
        <v>72</v>
      </c>
      <c r="C120" s="11" t="s">
        <v>42</v>
      </c>
      <c r="D120" s="15" t="s">
        <v>306</v>
      </c>
      <c r="E120" s="13">
        <v>18</v>
      </c>
      <c r="F120" s="13">
        <v>9</v>
      </c>
      <c r="G120" s="13">
        <f t="shared" si="2"/>
        <v>243</v>
      </c>
      <c r="H120" s="13">
        <v>331</v>
      </c>
      <c r="I120" s="14">
        <f t="shared" si="3"/>
        <v>-330.28493150684932</v>
      </c>
      <c r="J120" s="15" t="s">
        <v>307</v>
      </c>
      <c r="T120" s="8"/>
      <c r="V120" s="20">
        <v>540</v>
      </c>
      <c r="W120" s="19">
        <v>1.85</v>
      </c>
      <c r="X120" s="19">
        <v>15.43</v>
      </c>
    </row>
    <row r="121" spans="1:37" x14ac:dyDescent="0.2">
      <c r="A121">
        <v>-330</v>
      </c>
      <c r="B121" s="10" t="s">
        <v>72</v>
      </c>
      <c r="C121" s="11" t="s">
        <v>45</v>
      </c>
      <c r="D121" s="15" t="s">
        <v>308</v>
      </c>
      <c r="E121" s="13">
        <v>28</v>
      </c>
      <c r="F121" s="13">
        <v>9</v>
      </c>
      <c r="G121" s="13">
        <f t="shared" si="2"/>
        <v>243</v>
      </c>
      <c r="H121" s="13">
        <v>331</v>
      </c>
      <c r="I121" s="14">
        <f t="shared" si="3"/>
        <v>-330.25753424657535</v>
      </c>
      <c r="J121" s="15" t="s">
        <v>304</v>
      </c>
      <c r="T121" s="8"/>
      <c r="U121" t="s">
        <v>244</v>
      </c>
      <c r="V121" s="20">
        <v>720</v>
      </c>
      <c r="W121" s="19">
        <f>1000/V121</f>
        <v>1.3888888888888888</v>
      </c>
      <c r="X121" s="19">
        <f>8.33*W121</f>
        <v>11.569444444444445</v>
      </c>
    </row>
    <row r="122" spans="1:37" x14ac:dyDescent="0.2">
      <c r="A122">
        <v>-329</v>
      </c>
      <c r="B122" s="10" t="s">
        <v>162</v>
      </c>
      <c r="D122" s="15" t="s">
        <v>309</v>
      </c>
      <c r="E122" s="13">
        <v>22</v>
      </c>
      <c r="F122" s="13">
        <v>3</v>
      </c>
      <c r="G122" s="13">
        <f t="shared" si="2"/>
        <v>59</v>
      </c>
      <c r="H122" s="13">
        <v>330</v>
      </c>
      <c r="I122" s="14">
        <f t="shared" si="3"/>
        <v>-329.77808219178081</v>
      </c>
      <c r="J122" s="15" t="s">
        <v>310</v>
      </c>
      <c r="K122" s="2" t="s">
        <v>311</v>
      </c>
      <c r="L122" s="22">
        <v>72</v>
      </c>
      <c r="M122" s="22">
        <f>1000/L122</f>
        <v>13.888888888888889</v>
      </c>
      <c r="N122" s="22">
        <f>8.33*M122</f>
        <v>115.69444444444444</v>
      </c>
      <c r="O122" s="22">
        <f>1.613*N122</f>
        <v>186.61513888888888</v>
      </c>
      <c r="T122" s="8"/>
    </row>
    <row r="123" spans="1:37" x14ac:dyDescent="0.2">
      <c r="A123">
        <v>-328</v>
      </c>
      <c r="B123" s="10" t="s">
        <v>285</v>
      </c>
      <c r="D123" s="15" t="s">
        <v>312</v>
      </c>
      <c r="E123" s="13">
        <v>16</v>
      </c>
      <c r="F123" s="13">
        <v>8</v>
      </c>
      <c r="G123" s="13">
        <f t="shared" si="2"/>
        <v>212</v>
      </c>
      <c r="H123" s="13">
        <v>329</v>
      </c>
      <c r="I123" s="14">
        <f t="shared" si="3"/>
        <v>-328.37534246575342</v>
      </c>
      <c r="J123" s="15" t="s">
        <v>313</v>
      </c>
      <c r="P123" s="1" t="s">
        <v>314</v>
      </c>
      <c r="Q123" s="21">
        <v>63</v>
      </c>
      <c r="R123" s="22">
        <f>1000/Q123</f>
        <v>15.873015873015873</v>
      </c>
      <c r="S123" s="22">
        <f>8.33*R123</f>
        <v>132.22222222222223</v>
      </c>
      <c r="T123" s="16">
        <f>S123*1.33</f>
        <v>175.85555555555558</v>
      </c>
      <c r="U123" s="1" t="s">
        <v>222</v>
      </c>
      <c r="V123" s="21">
        <v>360</v>
      </c>
      <c r="W123" s="22">
        <f>1000/V123</f>
        <v>2.7777777777777777</v>
      </c>
      <c r="X123" s="22">
        <f>8.33*W123</f>
        <v>23.138888888888889</v>
      </c>
      <c r="Y123" s="1">
        <v>24</v>
      </c>
      <c r="Z123" s="9">
        <v>24</v>
      </c>
      <c r="AA123" s="8">
        <f>1000/Z123</f>
        <v>41.666666666666664</v>
      </c>
      <c r="AB123" s="8">
        <f>8.33*AA123</f>
        <v>347.08333333333331</v>
      </c>
      <c r="AC123" t="s">
        <v>41</v>
      </c>
    </row>
    <row r="124" spans="1:37" x14ac:dyDescent="0.2">
      <c r="A124">
        <v>-328</v>
      </c>
      <c r="B124" s="10" t="s">
        <v>137</v>
      </c>
      <c r="C124" s="11" t="s">
        <v>39</v>
      </c>
      <c r="D124" s="15" t="s">
        <v>315</v>
      </c>
      <c r="E124" s="13">
        <v>15</v>
      </c>
      <c r="F124" s="13">
        <v>9</v>
      </c>
      <c r="G124" s="13">
        <f t="shared" si="2"/>
        <v>243</v>
      </c>
      <c r="H124" s="13">
        <v>329</v>
      </c>
      <c r="I124" s="14">
        <f t="shared" si="3"/>
        <v>-328.2931506849315</v>
      </c>
      <c r="J124" s="15" t="s">
        <v>316</v>
      </c>
      <c r="K124" s="10">
        <v>51</v>
      </c>
      <c r="L124" s="16">
        <v>51</v>
      </c>
      <c r="M124" s="16">
        <f>1000/L124</f>
        <v>19.607843137254903</v>
      </c>
      <c r="N124" s="16">
        <f>8.33*M124</f>
        <v>163.33333333333334</v>
      </c>
      <c r="O124" s="16">
        <f>1.613*N124</f>
        <v>263.45666666666671</v>
      </c>
    </row>
    <row r="125" spans="1:37" x14ac:dyDescent="0.2">
      <c r="A125">
        <v>-328</v>
      </c>
      <c r="B125" s="10" t="s">
        <v>72</v>
      </c>
      <c r="C125" s="11" t="s">
        <v>42</v>
      </c>
      <c r="D125" s="15" t="s">
        <v>317</v>
      </c>
      <c r="E125" s="13">
        <v>25</v>
      </c>
      <c r="F125" s="13">
        <v>9</v>
      </c>
      <c r="G125" s="13">
        <f t="shared" si="2"/>
        <v>243</v>
      </c>
      <c r="H125" s="13">
        <v>329</v>
      </c>
      <c r="I125" s="14">
        <f t="shared" si="3"/>
        <v>-328.26575342465753</v>
      </c>
      <c r="J125" s="15" t="s">
        <v>318</v>
      </c>
      <c r="P125">
        <v>51</v>
      </c>
      <c r="Q125" s="17">
        <v>51</v>
      </c>
      <c r="R125" s="16">
        <f>1000/Q125</f>
        <v>19.607843137254903</v>
      </c>
      <c r="S125" s="16">
        <f>8.33*R125</f>
        <v>163.33333333333334</v>
      </c>
      <c r="T125" s="16">
        <f>S125*1.33</f>
        <v>217.23333333333335</v>
      </c>
    </row>
    <row r="126" spans="1:37" x14ac:dyDescent="0.2">
      <c r="A126">
        <v>-328</v>
      </c>
      <c r="B126" s="10" t="s">
        <v>72</v>
      </c>
      <c r="C126" s="11" t="s">
        <v>42</v>
      </c>
      <c r="D126" s="15" t="s">
        <v>317</v>
      </c>
      <c r="E126" s="13">
        <v>25</v>
      </c>
      <c r="F126" s="13">
        <v>9</v>
      </c>
      <c r="G126" s="13">
        <f t="shared" si="2"/>
        <v>243</v>
      </c>
      <c r="H126" s="13">
        <v>329</v>
      </c>
      <c r="I126" s="14">
        <f t="shared" si="3"/>
        <v>-328.26575342465753</v>
      </c>
      <c r="J126" s="15" t="s">
        <v>318</v>
      </c>
      <c r="P126">
        <v>78</v>
      </c>
      <c r="Q126" s="17">
        <v>78</v>
      </c>
      <c r="R126" s="16">
        <f>1000/Q126</f>
        <v>12.820512820512821</v>
      </c>
      <c r="S126" s="16">
        <f>8.33*R126</f>
        <v>106.7948717948718</v>
      </c>
      <c r="T126" s="16">
        <f>S126*1.33</f>
        <v>142.03717948717949</v>
      </c>
      <c r="AK126" t="s">
        <v>319</v>
      </c>
    </row>
    <row r="127" spans="1:37" x14ac:dyDescent="0.2">
      <c r="A127">
        <v>-328</v>
      </c>
      <c r="B127" s="10" t="s">
        <v>72</v>
      </c>
      <c r="C127" s="11" t="s">
        <v>45</v>
      </c>
      <c r="D127" s="15" t="s">
        <v>320</v>
      </c>
      <c r="E127" s="13">
        <v>5</v>
      </c>
      <c r="F127" s="13">
        <v>10</v>
      </c>
      <c r="G127" s="13">
        <f t="shared" si="2"/>
        <v>273</v>
      </c>
      <c r="H127" s="13">
        <v>329</v>
      </c>
      <c r="I127" s="14">
        <f t="shared" si="3"/>
        <v>-328.23835616438356</v>
      </c>
      <c r="J127" s="15" t="s">
        <v>321</v>
      </c>
      <c r="P127" t="s">
        <v>322</v>
      </c>
      <c r="Q127" s="17">
        <v>54</v>
      </c>
      <c r="R127" s="16">
        <f>1000/Q127</f>
        <v>18.518518518518519</v>
      </c>
      <c r="S127" s="16">
        <f>8.33*R127</f>
        <v>154.25925925925927</v>
      </c>
      <c r="T127" s="16">
        <f>S127*1.33</f>
        <v>205.16481481481483</v>
      </c>
    </row>
    <row r="128" spans="1:37" x14ac:dyDescent="0.2">
      <c r="A128">
        <v>-328</v>
      </c>
      <c r="B128" s="10" t="s">
        <v>72</v>
      </c>
      <c r="C128" s="11" t="s">
        <v>45</v>
      </c>
      <c r="D128" s="15" t="s">
        <v>320</v>
      </c>
      <c r="E128" s="13">
        <v>5</v>
      </c>
      <c r="F128" s="13">
        <v>10</v>
      </c>
      <c r="G128" s="13">
        <f t="shared" si="2"/>
        <v>273</v>
      </c>
      <c r="H128" s="13">
        <v>329</v>
      </c>
      <c r="I128" s="14">
        <f t="shared" si="3"/>
        <v>-328.23835616438356</v>
      </c>
      <c r="J128" s="15" t="s">
        <v>321</v>
      </c>
      <c r="P128" t="s">
        <v>323</v>
      </c>
      <c r="Q128" s="20">
        <v>81</v>
      </c>
      <c r="R128" s="19">
        <f>1000/Q128</f>
        <v>12.345679012345679</v>
      </c>
      <c r="S128" s="19">
        <f>8.33*R128</f>
        <v>102.83950617283951</v>
      </c>
      <c r="T128" s="19">
        <f>S128*1.33</f>
        <v>136.77654320987656</v>
      </c>
      <c r="AK128" t="s">
        <v>319</v>
      </c>
    </row>
    <row r="129" spans="1:36" x14ac:dyDescent="0.2">
      <c r="A129">
        <v>-328</v>
      </c>
      <c r="B129" s="10" t="s">
        <v>94</v>
      </c>
      <c r="C129" s="11" t="s">
        <v>39</v>
      </c>
      <c r="D129" s="15" t="s">
        <v>324</v>
      </c>
      <c r="E129" s="13">
        <v>13</v>
      </c>
      <c r="F129" s="13">
        <v>11</v>
      </c>
      <c r="G129" s="13">
        <f t="shared" si="2"/>
        <v>304</v>
      </c>
      <c r="H129" s="13">
        <v>329</v>
      </c>
      <c r="I129" s="14">
        <f t="shared" si="3"/>
        <v>-328.13150684931509</v>
      </c>
      <c r="J129" s="15" t="s">
        <v>325</v>
      </c>
      <c r="R129" s="19"/>
      <c r="S129" s="19"/>
    </row>
    <row r="130" spans="1:36" x14ac:dyDescent="0.2">
      <c r="A130">
        <v>-328</v>
      </c>
      <c r="B130" s="10" t="s">
        <v>94</v>
      </c>
      <c r="C130" s="11" t="s">
        <v>42</v>
      </c>
      <c r="D130" s="15" t="s">
        <v>326</v>
      </c>
      <c r="E130" s="13">
        <v>23</v>
      </c>
      <c r="F130" s="13">
        <v>11</v>
      </c>
      <c r="G130" s="13">
        <f t="shared" ref="G130:G193" si="4">INDEX(A$1502:A$1513,F130)</f>
        <v>304</v>
      </c>
      <c r="H130" s="13">
        <v>329</v>
      </c>
      <c r="I130" s="14">
        <f t="shared" si="3"/>
        <v>-328.10410958904112</v>
      </c>
      <c r="J130" s="15" t="s">
        <v>327</v>
      </c>
      <c r="R130" s="19"/>
      <c r="S130" s="19"/>
    </row>
    <row r="131" spans="1:36" x14ac:dyDescent="0.2">
      <c r="A131">
        <v>-328</v>
      </c>
      <c r="B131" s="10" t="s">
        <v>94</v>
      </c>
      <c r="C131" s="11" t="s">
        <v>45</v>
      </c>
      <c r="D131" s="15" t="s">
        <v>328</v>
      </c>
      <c r="E131" s="13">
        <v>3</v>
      </c>
      <c r="F131" s="13">
        <v>12</v>
      </c>
      <c r="G131" s="13">
        <f t="shared" si="4"/>
        <v>334</v>
      </c>
      <c r="H131" s="13">
        <v>329</v>
      </c>
      <c r="I131" s="14">
        <f t="shared" ref="I131:I194" si="5">($E131+$G131)/365-$H131</f>
        <v>-328.07671232876714</v>
      </c>
      <c r="J131" s="15" t="s">
        <v>329</v>
      </c>
      <c r="P131" t="s">
        <v>330</v>
      </c>
      <c r="Q131" s="20">
        <v>85</v>
      </c>
      <c r="R131" s="19">
        <f>1000/Q131</f>
        <v>11.764705882352942</v>
      </c>
      <c r="S131" s="19">
        <f>8.33*R131</f>
        <v>98.000000000000014</v>
      </c>
      <c r="T131" s="19">
        <f>S131*1.33</f>
        <v>130.34000000000003</v>
      </c>
    </row>
    <row r="132" spans="1:36" x14ac:dyDescent="0.2">
      <c r="A132">
        <v>-324</v>
      </c>
      <c r="B132" s="10" t="s">
        <v>60</v>
      </c>
      <c r="D132" s="15" t="s">
        <v>331</v>
      </c>
      <c r="E132" s="13">
        <v>7</v>
      </c>
      <c r="F132" s="13">
        <v>4</v>
      </c>
      <c r="G132" s="13">
        <f t="shared" si="4"/>
        <v>90</v>
      </c>
      <c r="H132" s="13">
        <v>325</v>
      </c>
      <c r="I132" s="14">
        <f t="shared" si="5"/>
        <v>-324.73424657534247</v>
      </c>
      <c r="J132" s="15" t="s">
        <v>332</v>
      </c>
      <c r="Q132" s="20"/>
      <c r="U132" s="1">
        <v>540</v>
      </c>
      <c r="V132" s="9">
        <v>540</v>
      </c>
      <c r="W132" s="8">
        <f>1000/V132</f>
        <v>1.8518518518518519</v>
      </c>
      <c r="X132" s="8">
        <f>8.33*W132</f>
        <v>15.425925925925926</v>
      </c>
    </row>
    <row r="133" spans="1:36" x14ac:dyDescent="0.2">
      <c r="A133">
        <v>-324</v>
      </c>
      <c r="B133" s="10" t="s">
        <v>54</v>
      </c>
      <c r="C133" s="11" t="s">
        <v>333</v>
      </c>
      <c r="D133" s="7" t="s">
        <v>334</v>
      </c>
      <c r="E133" s="13">
        <v>11</v>
      </c>
      <c r="F133" s="13">
        <v>4</v>
      </c>
      <c r="G133" s="13">
        <f t="shared" si="4"/>
        <v>90</v>
      </c>
      <c r="H133" s="13">
        <v>325</v>
      </c>
      <c r="I133" s="14">
        <f t="shared" si="5"/>
        <v>-324.72328767123287</v>
      </c>
      <c r="J133" s="25" t="s">
        <v>335</v>
      </c>
    </row>
    <row r="134" spans="1:36" x14ac:dyDescent="0.2">
      <c r="A134">
        <v>-324</v>
      </c>
      <c r="B134" s="10" t="s">
        <v>54</v>
      </c>
      <c r="C134" s="11" t="s">
        <v>336</v>
      </c>
      <c r="D134" s="25" t="s">
        <v>337</v>
      </c>
      <c r="E134" s="13">
        <v>21</v>
      </c>
      <c r="F134" s="13">
        <v>4</v>
      </c>
      <c r="G134" s="13">
        <f t="shared" si="4"/>
        <v>90</v>
      </c>
      <c r="H134" s="13">
        <v>325</v>
      </c>
      <c r="I134" s="14">
        <f t="shared" si="5"/>
        <v>-324.6958904109589</v>
      </c>
      <c r="J134" s="7" t="s">
        <v>338</v>
      </c>
      <c r="P134">
        <v>42</v>
      </c>
      <c r="Q134" s="17">
        <v>42</v>
      </c>
      <c r="R134" s="16">
        <f>1000/Q134</f>
        <v>23.80952380952381</v>
      </c>
      <c r="S134" s="16">
        <f>8.33*R134</f>
        <v>198.33333333333334</v>
      </c>
      <c r="T134" s="16">
        <f>S134*1.33</f>
        <v>263.78333333333336</v>
      </c>
    </row>
    <row r="135" spans="1:36" x14ac:dyDescent="0.2">
      <c r="A135">
        <v>-324</v>
      </c>
      <c r="B135" s="10" t="s">
        <v>47</v>
      </c>
      <c r="D135" s="15" t="s">
        <v>339</v>
      </c>
      <c r="E135" s="13">
        <v>6</v>
      </c>
      <c r="F135" s="13">
        <v>5</v>
      </c>
      <c r="G135" s="13">
        <f t="shared" si="4"/>
        <v>120</v>
      </c>
      <c r="H135" s="13">
        <v>325</v>
      </c>
      <c r="I135" s="14">
        <f t="shared" si="5"/>
        <v>-324.65479452054797</v>
      </c>
      <c r="J135" s="15" t="s">
        <v>340</v>
      </c>
      <c r="AG135" s="1" t="s">
        <v>341</v>
      </c>
      <c r="AH135" s="21">
        <v>2</v>
      </c>
      <c r="AI135" s="22">
        <f>1/AH135</f>
        <v>0.5</v>
      </c>
      <c r="AJ135" s="22">
        <f>8.33*AI135</f>
        <v>4.165</v>
      </c>
    </row>
    <row r="136" spans="1:36" x14ac:dyDescent="0.2">
      <c r="A136">
        <v>-324</v>
      </c>
      <c r="B136" s="10" t="s">
        <v>47</v>
      </c>
      <c r="C136" s="11" t="s">
        <v>39</v>
      </c>
      <c r="D136" s="15" t="s">
        <v>339</v>
      </c>
      <c r="E136" s="13">
        <v>6</v>
      </c>
      <c r="F136" s="13">
        <v>5</v>
      </c>
      <c r="G136" s="13">
        <f t="shared" si="4"/>
        <v>120</v>
      </c>
      <c r="H136" s="13">
        <v>325</v>
      </c>
      <c r="I136" s="14">
        <f t="shared" si="5"/>
        <v>-324.65479452054797</v>
      </c>
      <c r="J136" s="15" t="s">
        <v>342</v>
      </c>
      <c r="AH136" s="9"/>
    </row>
    <row r="137" spans="1:36" x14ac:dyDescent="0.2">
      <c r="A137">
        <v>-324</v>
      </c>
      <c r="B137" s="10" t="s">
        <v>47</v>
      </c>
      <c r="C137" s="11" t="s">
        <v>343</v>
      </c>
      <c r="D137" s="7" t="s">
        <v>344</v>
      </c>
      <c r="E137" s="13">
        <v>11</v>
      </c>
      <c r="F137" s="13">
        <v>5</v>
      </c>
      <c r="G137" s="13">
        <f t="shared" si="4"/>
        <v>120</v>
      </c>
      <c r="H137" s="13">
        <v>325</v>
      </c>
      <c r="I137" s="14">
        <f t="shared" si="5"/>
        <v>-324.64109589041095</v>
      </c>
      <c r="J137" s="7" t="s">
        <v>345</v>
      </c>
      <c r="K137" s="10" t="s">
        <v>346</v>
      </c>
      <c r="L137" s="19">
        <v>26</v>
      </c>
      <c r="M137" s="19">
        <f>1000/L137</f>
        <v>38.46153846153846</v>
      </c>
      <c r="N137" s="19">
        <f>8.33*M137</f>
        <v>320.38461538461536</v>
      </c>
      <c r="O137" s="19">
        <f>1.613*N137</f>
        <v>516.78038461538461</v>
      </c>
      <c r="P137" s="24"/>
    </row>
    <row r="138" spans="1:36" x14ac:dyDescent="0.2">
      <c r="A138">
        <v>-324</v>
      </c>
      <c r="B138" s="10" t="s">
        <v>47</v>
      </c>
      <c r="C138" s="11" t="s">
        <v>42</v>
      </c>
      <c r="D138" s="15" t="s">
        <v>347</v>
      </c>
      <c r="E138" s="13">
        <v>16</v>
      </c>
      <c r="F138" s="13">
        <v>5</v>
      </c>
      <c r="G138" s="13">
        <f t="shared" si="4"/>
        <v>120</v>
      </c>
      <c r="H138" s="13">
        <v>325</v>
      </c>
      <c r="I138" s="14">
        <f t="shared" si="5"/>
        <v>-324.62739726027399</v>
      </c>
      <c r="J138" s="15" t="s">
        <v>348</v>
      </c>
      <c r="K138" s="10">
        <v>36</v>
      </c>
      <c r="L138" s="16">
        <v>36</v>
      </c>
      <c r="M138" s="16">
        <f>1000/L138</f>
        <v>27.777777777777779</v>
      </c>
      <c r="N138" s="16">
        <f>8.33*M138</f>
        <v>231.38888888888889</v>
      </c>
      <c r="O138" s="16">
        <f>1.613*N138</f>
        <v>373.23027777777776</v>
      </c>
      <c r="P138">
        <v>36</v>
      </c>
      <c r="Q138" s="17">
        <v>36</v>
      </c>
      <c r="R138" s="16">
        <f>1000/Q138</f>
        <v>27.777777777777779</v>
      </c>
      <c r="S138" s="16">
        <f>8.33*R138</f>
        <v>231.38888888888889</v>
      </c>
      <c r="T138" s="16">
        <f>S138*1.33</f>
        <v>307.74722222222226</v>
      </c>
    </row>
    <row r="139" spans="1:36" x14ac:dyDescent="0.2">
      <c r="A139">
        <v>-324</v>
      </c>
      <c r="B139" s="10" t="s">
        <v>47</v>
      </c>
      <c r="C139" s="11" t="s">
        <v>45</v>
      </c>
      <c r="D139" s="15" t="s">
        <v>349</v>
      </c>
      <c r="E139" s="13">
        <v>26</v>
      </c>
      <c r="F139" s="13">
        <v>5</v>
      </c>
      <c r="G139" s="13">
        <f t="shared" si="4"/>
        <v>120</v>
      </c>
      <c r="H139" s="13">
        <v>325</v>
      </c>
      <c r="I139" s="14">
        <f t="shared" si="5"/>
        <v>-324.60000000000002</v>
      </c>
      <c r="J139" s="15" t="s">
        <v>340</v>
      </c>
      <c r="K139" s="10">
        <v>48</v>
      </c>
      <c r="L139" s="16">
        <v>48</v>
      </c>
      <c r="M139" s="16">
        <f>1000/L139</f>
        <v>20.833333333333332</v>
      </c>
      <c r="N139" s="16">
        <f>8.33*M139</f>
        <v>173.54166666666666</v>
      </c>
      <c r="O139" s="16">
        <f>1.613*N139</f>
        <v>279.92270833333333</v>
      </c>
      <c r="P139">
        <v>42</v>
      </c>
      <c r="Q139" s="17">
        <v>42</v>
      </c>
      <c r="R139" s="16">
        <f>1000/Q139</f>
        <v>23.80952380952381</v>
      </c>
      <c r="S139" s="16">
        <f>8.33*R139</f>
        <v>198.33333333333334</v>
      </c>
      <c r="T139" s="16">
        <f>S139*1.33</f>
        <v>263.78333333333336</v>
      </c>
    </row>
    <row r="140" spans="1:36" x14ac:dyDescent="0.2">
      <c r="A140">
        <v>-324</v>
      </c>
      <c r="B140" s="10" t="s">
        <v>65</v>
      </c>
      <c r="D140" s="15" t="s">
        <v>350</v>
      </c>
      <c r="E140" s="13">
        <v>5</v>
      </c>
      <c r="F140" s="13">
        <v>6</v>
      </c>
      <c r="G140" s="13">
        <f t="shared" si="4"/>
        <v>151</v>
      </c>
      <c r="H140" s="13">
        <v>325</v>
      </c>
      <c r="I140" s="14">
        <f t="shared" si="5"/>
        <v>-324.57260273972605</v>
      </c>
      <c r="J140" s="15" t="s">
        <v>351</v>
      </c>
      <c r="AG140" s="1">
        <v>2</v>
      </c>
      <c r="AH140" s="9">
        <v>2</v>
      </c>
      <c r="AI140" s="8">
        <f>1/AH140</f>
        <v>0.5</v>
      </c>
      <c r="AJ140" s="8">
        <f>8.33*AI140</f>
        <v>4.165</v>
      </c>
    </row>
    <row r="141" spans="1:36" x14ac:dyDescent="0.2">
      <c r="A141">
        <v>-324</v>
      </c>
      <c r="B141" s="10" t="s">
        <v>65</v>
      </c>
      <c r="C141" s="11" t="s">
        <v>39</v>
      </c>
      <c r="D141" s="15" t="s">
        <v>350</v>
      </c>
      <c r="E141" s="13">
        <v>5</v>
      </c>
      <c r="F141" s="13">
        <v>6</v>
      </c>
      <c r="G141" s="13">
        <f t="shared" si="4"/>
        <v>151</v>
      </c>
      <c r="H141" s="13">
        <v>325</v>
      </c>
      <c r="I141" s="14">
        <f t="shared" si="5"/>
        <v>-324.57260273972605</v>
      </c>
      <c r="J141" s="15" t="s">
        <v>352</v>
      </c>
      <c r="K141" s="10">
        <v>48</v>
      </c>
      <c r="L141" s="16">
        <v>48</v>
      </c>
      <c r="M141" s="16">
        <f t="shared" ref="M141:M148" si="6">1000/L141</f>
        <v>20.833333333333332</v>
      </c>
      <c r="N141" s="16">
        <f t="shared" ref="N141:N148" si="7">8.33*M141</f>
        <v>173.54166666666666</v>
      </c>
      <c r="O141" s="16">
        <f t="shared" ref="O141:O148" si="8">1.613*N141</f>
        <v>279.92270833333333</v>
      </c>
    </row>
    <row r="142" spans="1:36" x14ac:dyDescent="0.2">
      <c r="A142">
        <v>-324</v>
      </c>
      <c r="B142" s="10" t="s">
        <v>65</v>
      </c>
      <c r="C142" s="11" t="s">
        <v>42</v>
      </c>
      <c r="D142" s="15" t="s">
        <v>353</v>
      </c>
      <c r="E142" s="13">
        <v>15</v>
      </c>
      <c r="F142" s="13">
        <v>6</v>
      </c>
      <c r="G142" s="13">
        <f t="shared" si="4"/>
        <v>151</v>
      </c>
      <c r="H142" s="13">
        <v>325</v>
      </c>
      <c r="I142" s="14">
        <f t="shared" si="5"/>
        <v>-324.54520547945208</v>
      </c>
      <c r="J142" s="15" t="s">
        <v>354</v>
      </c>
      <c r="K142" s="10">
        <v>46</v>
      </c>
      <c r="L142" s="16">
        <v>46</v>
      </c>
      <c r="M142" s="16">
        <f t="shared" si="6"/>
        <v>21.739130434782609</v>
      </c>
      <c r="N142" s="16">
        <f t="shared" si="7"/>
        <v>181.08695652173913</v>
      </c>
      <c r="O142" s="16">
        <f t="shared" si="8"/>
        <v>292.0932608695652</v>
      </c>
      <c r="AG142" t="s">
        <v>133</v>
      </c>
    </row>
    <row r="143" spans="1:36" x14ac:dyDescent="0.2">
      <c r="A143">
        <v>-324</v>
      </c>
      <c r="B143" s="10" t="s">
        <v>65</v>
      </c>
      <c r="C143" s="11" t="s">
        <v>45</v>
      </c>
      <c r="D143" s="15" t="s">
        <v>355</v>
      </c>
      <c r="E143" s="13">
        <v>25</v>
      </c>
      <c r="F143" s="13">
        <v>6</v>
      </c>
      <c r="G143" s="13">
        <f t="shared" si="4"/>
        <v>151</v>
      </c>
      <c r="H143" s="13">
        <v>325</v>
      </c>
      <c r="I143" s="14">
        <f t="shared" si="5"/>
        <v>-324.51780821917811</v>
      </c>
      <c r="J143" s="15" t="s">
        <v>351</v>
      </c>
      <c r="K143" s="10" t="s">
        <v>238</v>
      </c>
      <c r="L143" s="19">
        <v>44</v>
      </c>
      <c r="M143" s="19">
        <f t="shared" si="6"/>
        <v>22.727272727272727</v>
      </c>
      <c r="N143" s="19">
        <f t="shared" si="7"/>
        <v>189.31818181818181</v>
      </c>
      <c r="O143" s="19">
        <f t="shared" si="8"/>
        <v>305.37022727272728</v>
      </c>
      <c r="AG143" t="s">
        <v>133</v>
      </c>
    </row>
    <row r="144" spans="1:36" x14ac:dyDescent="0.2">
      <c r="A144">
        <v>-324</v>
      </c>
      <c r="B144" s="10" t="s">
        <v>130</v>
      </c>
      <c r="C144" s="11" t="s">
        <v>39</v>
      </c>
      <c r="D144" s="15" t="s">
        <v>356</v>
      </c>
      <c r="E144" s="13">
        <v>4</v>
      </c>
      <c r="F144" s="13">
        <v>7</v>
      </c>
      <c r="G144" s="13">
        <f t="shared" si="4"/>
        <v>181</v>
      </c>
      <c r="H144" s="13">
        <v>325</v>
      </c>
      <c r="I144" s="14">
        <f t="shared" si="5"/>
        <v>-324.49315068493149</v>
      </c>
      <c r="J144" s="15" t="s">
        <v>357</v>
      </c>
      <c r="K144" s="10">
        <v>43.5</v>
      </c>
      <c r="L144" s="16">
        <v>43.5</v>
      </c>
      <c r="M144" s="16">
        <f t="shared" si="6"/>
        <v>22.988505747126435</v>
      </c>
      <c r="N144" s="16">
        <f t="shared" si="7"/>
        <v>191.4942528735632</v>
      </c>
      <c r="O144" s="16">
        <f t="shared" si="8"/>
        <v>308.88022988505742</v>
      </c>
      <c r="P144">
        <v>39</v>
      </c>
      <c r="Q144" s="17">
        <v>39</v>
      </c>
      <c r="R144" s="16">
        <f>1000/Q144</f>
        <v>25.641025641025642</v>
      </c>
      <c r="S144" s="16">
        <f>8.33*R144</f>
        <v>213.58974358974359</v>
      </c>
      <c r="T144" s="16">
        <f>S144*1.33</f>
        <v>284.07435897435897</v>
      </c>
    </row>
    <row r="145" spans="1:36" x14ac:dyDescent="0.2">
      <c r="A145">
        <v>-324</v>
      </c>
      <c r="B145" s="10" t="s">
        <v>130</v>
      </c>
      <c r="C145" s="11" t="s">
        <v>42</v>
      </c>
      <c r="D145" s="15" t="s">
        <v>358</v>
      </c>
      <c r="E145" s="13">
        <v>14</v>
      </c>
      <c r="F145" s="13">
        <v>7</v>
      </c>
      <c r="G145" s="13">
        <f t="shared" si="4"/>
        <v>181</v>
      </c>
      <c r="H145" s="13">
        <v>325</v>
      </c>
      <c r="I145" s="14">
        <f t="shared" si="5"/>
        <v>-324.46575342465752</v>
      </c>
      <c r="J145" s="15" t="s">
        <v>359</v>
      </c>
      <c r="K145" s="10">
        <v>45</v>
      </c>
      <c r="L145" s="16">
        <v>45</v>
      </c>
      <c r="M145" s="16">
        <f t="shared" si="6"/>
        <v>22.222222222222221</v>
      </c>
      <c r="N145" s="16">
        <f t="shared" si="7"/>
        <v>185.11111111111111</v>
      </c>
      <c r="O145" s="16">
        <f t="shared" si="8"/>
        <v>298.58422222222225</v>
      </c>
      <c r="P145" t="s">
        <v>133</v>
      </c>
      <c r="Q145" s="20">
        <v>39</v>
      </c>
      <c r="R145" s="19">
        <v>25.64</v>
      </c>
      <c r="S145" s="19">
        <v>213.59</v>
      </c>
      <c r="T145" s="19">
        <f>S145*1.33</f>
        <v>284.07470000000001</v>
      </c>
    </row>
    <row r="146" spans="1:36" x14ac:dyDescent="0.2">
      <c r="A146">
        <v>-324</v>
      </c>
      <c r="B146" s="10" t="s">
        <v>130</v>
      </c>
      <c r="C146" s="11" t="s">
        <v>45</v>
      </c>
      <c r="D146" s="15" t="s">
        <v>360</v>
      </c>
      <c r="E146" s="13">
        <v>24</v>
      </c>
      <c r="F146" s="13">
        <v>7</v>
      </c>
      <c r="G146" s="13">
        <f t="shared" si="4"/>
        <v>181</v>
      </c>
      <c r="H146" s="13">
        <v>325</v>
      </c>
      <c r="I146" s="14">
        <f t="shared" si="5"/>
        <v>-324.43835616438355</v>
      </c>
      <c r="J146" s="15" t="s">
        <v>361</v>
      </c>
      <c r="K146" s="10">
        <v>43.5</v>
      </c>
      <c r="L146" s="16">
        <v>43.5</v>
      </c>
      <c r="M146" s="16">
        <f t="shared" si="6"/>
        <v>22.988505747126435</v>
      </c>
      <c r="N146" s="16">
        <f t="shared" si="7"/>
        <v>191.4942528735632</v>
      </c>
      <c r="O146" s="16">
        <f t="shared" si="8"/>
        <v>308.88022988505742</v>
      </c>
      <c r="P146" t="s">
        <v>133</v>
      </c>
    </row>
    <row r="147" spans="1:36" x14ac:dyDescent="0.2">
      <c r="A147">
        <v>-324</v>
      </c>
      <c r="B147" s="10" t="s">
        <v>362</v>
      </c>
      <c r="C147" s="11" t="s">
        <v>363</v>
      </c>
      <c r="D147" s="25" t="s">
        <v>364</v>
      </c>
      <c r="E147" s="13">
        <v>3</v>
      </c>
      <c r="F147" s="13">
        <v>8</v>
      </c>
      <c r="G147" s="13">
        <f t="shared" si="4"/>
        <v>212</v>
      </c>
      <c r="H147" s="13">
        <v>325</v>
      </c>
      <c r="I147" s="14">
        <f t="shared" si="5"/>
        <v>-324.41095890410958</v>
      </c>
      <c r="J147" s="7" t="s">
        <v>365</v>
      </c>
      <c r="K147" s="10">
        <v>39</v>
      </c>
      <c r="L147" s="16">
        <v>39</v>
      </c>
      <c r="M147" s="16">
        <f t="shared" si="6"/>
        <v>25.641025641025642</v>
      </c>
      <c r="N147" s="16">
        <f t="shared" si="7"/>
        <v>213.58974358974359</v>
      </c>
      <c r="O147" s="16">
        <f t="shared" si="8"/>
        <v>344.52025641025642</v>
      </c>
    </row>
    <row r="148" spans="1:36" x14ac:dyDescent="0.2">
      <c r="A148">
        <v>-324</v>
      </c>
      <c r="B148" s="10" t="s">
        <v>285</v>
      </c>
      <c r="C148" s="11" t="s">
        <v>366</v>
      </c>
      <c r="D148" s="7" t="s">
        <v>367</v>
      </c>
      <c r="E148" s="13">
        <v>19</v>
      </c>
      <c r="F148" s="13">
        <v>8</v>
      </c>
      <c r="G148" s="13">
        <f t="shared" si="4"/>
        <v>212</v>
      </c>
      <c r="H148" s="13">
        <v>325</v>
      </c>
      <c r="I148" s="14">
        <f t="shared" si="5"/>
        <v>-324.36712328767123</v>
      </c>
      <c r="J148" s="7" t="s">
        <v>368</v>
      </c>
      <c r="K148" s="10">
        <v>37</v>
      </c>
      <c r="L148" s="16">
        <v>37</v>
      </c>
      <c r="M148" s="16">
        <f t="shared" si="6"/>
        <v>27.027027027027028</v>
      </c>
      <c r="N148" s="16">
        <f t="shared" si="7"/>
        <v>225.13513513513516</v>
      </c>
      <c r="O148" s="16">
        <f t="shared" si="8"/>
        <v>363.14297297297298</v>
      </c>
    </row>
    <row r="149" spans="1:36" x14ac:dyDescent="0.2">
      <c r="A149">
        <v>-324</v>
      </c>
      <c r="B149" s="10" t="s">
        <v>285</v>
      </c>
      <c r="C149" s="11" t="s">
        <v>369</v>
      </c>
      <c r="D149" s="7" t="s">
        <v>370</v>
      </c>
      <c r="E149" s="13">
        <v>24</v>
      </c>
      <c r="F149" s="13">
        <v>8</v>
      </c>
      <c r="G149" s="13">
        <f t="shared" si="4"/>
        <v>212</v>
      </c>
      <c r="H149" s="13">
        <v>325</v>
      </c>
      <c r="I149" s="14">
        <f t="shared" si="5"/>
        <v>-324.35342465753422</v>
      </c>
      <c r="J149" s="25" t="s">
        <v>371</v>
      </c>
      <c r="K149" s="10" t="s">
        <v>41</v>
      </c>
      <c r="L149" s="16" t="s">
        <v>372</v>
      </c>
    </row>
    <row r="150" spans="1:36" x14ac:dyDescent="0.2">
      <c r="A150">
        <v>-324</v>
      </c>
      <c r="B150" s="10" t="s">
        <v>72</v>
      </c>
      <c r="C150" s="11" t="s">
        <v>39</v>
      </c>
      <c r="D150" s="15" t="s">
        <v>373</v>
      </c>
      <c r="E150" s="13">
        <v>1</v>
      </c>
      <c r="F150" s="13">
        <v>9</v>
      </c>
      <c r="G150" s="13">
        <f t="shared" si="4"/>
        <v>243</v>
      </c>
      <c r="H150" s="13">
        <v>325</v>
      </c>
      <c r="I150" s="14">
        <f t="shared" si="5"/>
        <v>-324.33150684931508</v>
      </c>
      <c r="J150" s="15" t="s">
        <v>374</v>
      </c>
      <c r="P150" t="s">
        <v>375</v>
      </c>
      <c r="Q150" s="17">
        <v>39</v>
      </c>
      <c r="R150" s="16">
        <f>1000/Q150</f>
        <v>25.641025641025642</v>
      </c>
      <c r="S150" s="16">
        <f>8.33*R150</f>
        <v>213.58974358974359</v>
      </c>
      <c r="T150" s="16">
        <f>S150*1.33</f>
        <v>284.07435897435897</v>
      </c>
      <c r="U150">
        <v>180</v>
      </c>
      <c r="V150" s="17">
        <v>180</v>
      </c>
      <c r="W150" s="16">
        <f>1000/V150</f>
        <v>5.5555555555555554</v>
      </c>
      <c r="X150" s="16">
        <f>8.33*W150</f>
        <v>46.277777777777779</v>
      </c>
      <c r="Y150" t="s">
        <v>41</v>
      </c>
    </row>
    <row r="151" spans="1:36" x14ac:dyDescent="0.2">
      <c r="A151">
        <v>-324</v>
      </c>
      <c r="B151" s="10" t="s">
        <v>72</v>
      </c>
      <c r="C151" s="11" t="s">
        <v>42</v>
      </c>
      <c r="D151" s="15" t="s">
        <v>376</v>
      </c>
      <c r="E151" s="13">
        <v>11</v>
      </c>
      <c r="F151" s="13">
        <v>9</v>
      </c>
      <c r="G151" s="13">
        <f t="shared" si="4"/>
        <v>243</v>
      </c>
      <c r="H151" s="13">
        <v>325</v>
      </c>
      <c r="I151" s="14">
        <f t="shared" si="5"/>
        <v>-324.3041095890411</v>
      </c>
      <c r="J151" s="15" t="s">
        <v>377</v>
      </c>
      <c r="V151" s="20">
        <v>180</v>
      </c>
      <c r="W151" s="19">
        <v>5.56</v>
      </c>
      <c r="X151" s="19">
        <v>46.28</v>
      </c>
    </row>
    <row r="152" spans="1:36" x14ac:dyDescent="0.2">
      <c r="A152">
        <v>-324</v>
      </c>
      <c r="B152" s="10" t="s">
        <v>72</v>
      </c>
      <c r="C152" s="11" t="s">
        <v>45</v>
      </c>
      <c r="D152" s="15" t="s">
        <v>378</v>
      </c>
      <c r="E152" s="13">
        <v>21</v>
      </c>
      <c r="F152" s="13">
        <v>9</v>
      </c>
      <c r="G152" s="13">
        <f t="shared" si="4"/>
        <v>243</v>
      </c>
      <c r="H152" s="13">
        <v>325</v>
      </c>
      <c r="I152" s="14">
        <f t="shared" si="5"/>
        <v>-324.27671232876713</v>
      </c>
      <c r="J152" s="15" t="s">
        <v>377</v>
      </c>
      <c r="K152" s="10">
        <v>36</v>
      </c>
      <c r="L152" s="16">
        <v>36</v>
      </c>
      <c r="M152" s="16">
        <v>27.78</v>
      </c>
      <c r="N152" s="16">
        <v>231.39</v>
      </c>
      <c r="O152" s="16">
        <v>373.23</v>
      </c>
      <c r="P152" t="s">
        <v>41</v>
      </c>
      <c r="U152">
        <v>270</v>
      </c>
      <c r="V152" s="17">
        <v>270</v>
      </c>
      <c r="W152" s="16">
        <f>1000/V152</f>
        <v>3.7037037037037037</v>
      </c>
      <c r="X152" s="16">
        <f>8.33*W152</f>
        <v>30.851851851851851</v>
      </c>
    </row>
    <row r="153" spans="1:36" x14ac:dyDescent="0.2">
      <c r="A153">
        <v>-322</v>
      </c>
      <c r="B153" s="10" t="s">
        <v>47</v>
      </c>
      <c r="D153" s="15" t="s">
        <v>379</v>
      </c>
      <c r="E153" s="13">
        <v>14</v>
      </c>
      <c r="F153" s="13">
        <v>5</v>
      </c>
      <c r="G153" s="13">
        <f t="shared" si="4"/>
        <v>120</v>
      </c>
      <c r="H153" s="13">
        <v>323</v>
      </c>
      <c r="I153" s="14">
        <f t="shared" si="5"/>
        <v>-322.63287671232877</v>
      </c>
      <c r="J153" s="15" t="s">
        <v>380</v>
      </c>
      <c r="Y153" s="1">
        <v>10</v>
      </c>
      <c r="Z153" s="9">
        <v>10</v>
      </c>
      <c r="AA153" s="8">
        <f>1000/Z153</f>
        <v>100</v>
      </c>
      <c r="AB153" s="8">
        <f>8.33*AA153</f>
        <v>833</v>
      </c>
      <c r="AC153">
        <v>3.5</v>
      </c>
      <c r="AD153" s="17">
        <v>3.5</v>
      </c>
      <c r="AE153" s="16">
        <f>1000/AD153</f>
        <v>285.71428571428572</v>
      </c>
      <c r="AF153" s="16">
        <f>8.33*AE153</f>
        <v>2380</v>
      </c>
    </row>
    <row r="154" spans="1:36" x14ac:dyDescent="0.2">
      <c r="A154">
        <v>-322</v>
      </c>
      <c r="B154" s="10" t="s">
        <v>381</v>
      </c>
      <c r="C154" s="11" t="s">
        <v>39</v>
      </c>
      <c r="D154" s="15" t="s">
        <v>382</v>
      </c>
      <c r="E154" s="13">
        <v>12</v>
      </c>
      <c r="F154" s="13">
        <v>6</v>
      </c>
      <c r="G154" s="13">
        <f t="shared" si="4"/>
        <v>151</v>
      </c>
      <c r="H154" s="13">
        <v>323</v>
      </c>
      <c r="I154" s="14">
        <f t="shared" si="5"/>
        <v>-322.55342465753426</v>
      </c>
      <c r="J154" s="15" t="s">
        <v>383</v>
      </c>
      <c r="K154" s="10" t="s">
        <v>384</v>
      </c>
      <c r="L154" s="16">
        <v>60</v>
      </c>
      <c r="M154" s="16">
        <f>1000/L154</f>
        <v>16.666666666666668</v>
      </c>
      <c r="N154" s="16">
        <f>8.33*M154</f>
        <v>138.83333333333334</v>
      </c>
      <c r="O154" s="16">
        <f>1.613*N154</f>
        <v>223.93816666666669</v>
      </c>
      <c r="P154" t="s">
        <v>41</v>
      </c>
      <c r="AA154" s="8"/>
      <c r="AB154" s="8"/>
    </row>
    <row r="155" spans="1:36" x14ac:dyDescent="0.2">
      <c r="A155">
        <v>-322</v>
      </c>
      <c r="B155" s="10" t="s">
        <v>65</v>
      </c>
      <c r="C155" s="11" t="s">
        <v>42</v>
      </c>
      <c r="D155" s="15" t="s">
        <v>385</v>
      </c>
      <c r="E155" s="13">
        <v>22</v>
      </c>
      <c r="F155" s="13">
        <v>6</v>
      </c>
      <c r="G155" s="13">
        <f t="shared" si="4"/>
        <v>151</v>
      </c>
      <c r="H155" s="13">
        <v>323</v>
      </c>
      <c r="I155" s="14">
        <f t="shared" si="5"/>
        <v>-322.52602739726029</v>
      </c>
      <c r="J155" s="15" t="s">
        <v>386</v>
      </c>
      <c r="K155" s="10">
        <v>54</v>
      </c>
      <c r="L155" s="16">
        <v>54</v>
      </c>
      <c r="M155" s="16">
        <f>1000/L155</f>
        <v>18.518518518518519</v>
      </c>
      <c r="N155" s="16">
        <f>8.33*M155</f>
        <v>154.25925925925927</v>
      </c>
      <c r="O155" s="16">
        <f>1.613*N155</f>
        <v>248.82018518518518</v>
      </c>
      <c r="AA155" s="8"/>
      <c r="AB155" s="8"/>
    </row>
    <row r="156" spans="1:36" x14ac:dyDescent="0.2">
      <c r="A156">
        <v>-322</v>
      </c>
      <c r="B156" s="10" t="s">
        <v>65</v>
      </c>
      <c r="C156" s="11" t="s">
        <v>45</v>
      </c>
      <c r="D156" s="15" t="s">
        <v>387</v>
      </c>
      <c r="E156" s="13">
        <v>2</v>
      </c>
      <c r="F156" s="13">
        <v>7</v>
      </c>
      <c r="G156" s="13">
        <f t="shared" si="4"/>
        <v>181</v>
      </c>
      <c r="H156" s="13">
        <v>323</v>
      </c>
      <c r="I156" s="14">
        <f t="shared" si="5"/>
        <v>-322.49863013698632</v>
      </c>
      <c r="J156" s="15" t="s">
        <v>388</v>
      </c>
      <c r="K156" s="10">
        <v>30</v>
      </c>
      <c r="L156" s="16">
        <v>30</v>
      </c>
      <c r="M156" s="16">
        <f>1000/L156</f>
        <v>33.333333333333336</v>
      </c>
      <c r="N156" s="16">
        <f>8.33*M156</f>
        <v>277.66666666666669</v>
      </c>
      <c r="O156" s="16">
        <f>1.613*N156</f>
        <v>447.87633333333338</v>
      </c>
      <c r="AA156" s="8"/>
      <c r="AB156" s="8"/>
    </row>
    <row r="157" spans="1:36" x14ac:dyDescent="0.2">
      <c r="A157">
        <v>-322</v>
      </c>
      <c r="B157" s="10" t="s">
        <v>389</v>
      </c>
      <c r="D157" s="15" t="s">
        <v>390</v>
      </c>
      <c r="E157" s="13">
        <v>8</v>
      </c>
      <c r="F157" s="13">
        <v>12</v>
      </c>
      <c r="G157" s="13">
        <f t="shared" si="4"/>
        <v>334</v>
      </c>
      <c r="H157" s="13">
        <v>323</v>
      </c>
      <c r="I157" s="14">
        <f t="shared" si="5"/>
        <v>-322.06301369863013</v>
      </c>
      <c r="J157" s="15" t="s">
        <v>391</v>
      </c>
      <c r="K157" s="10" t="s">
        <v>82</v>
      </c>
      <c r="Y157" s="1">
        <v>24</v>
      </c>
      <c r="Z157" s="9">
        <v>24</v>
      </c>
      <c r="AA157" s="8">
        <f>1000/Z157</f>
        <v>41.666666666666664</v>
      </c>
      <c r="AB157" s="8">
        <f>8.33*AA157</f>
        <v>347.08333333333331</v>
      </c>
      <c r="AC157" s="1">
        <v>6</v>
      </c>
      <c r="AD157" s="9">
        <v>6</v>
      </c>
      <c r="AE157" s="8">
        <f>1000/AD157</f>
        <v>166.66666666666666</v>
      </c>
      <c r="AF157" s="8">
        <f>8.33*AE157</f>
        <v>1388.3333333333333</v>
      </c>
      <c r="AG157" s="1">
        <v>1</v>
      </c>
      <c r="AH157" s="9">
        <v>1</v>
      </c>
      <c r="AI157" s="8">
        <f>1/AH157</f>
        <v>1</v>
      </c>
      <c r="AJ157" s="8">
        <f>8.33*AI157</f>
        <v>8.33</v>
      </c>
    </row>
    <row r="158" spans="1:36" x14ac:dyDescent="0.2">
      <c r="A158">
        <v>-322</v>
      </c>
      <c r="B158" s="10" t="s">
        <v>392</v>
      </c>
      <c r="C158" s="11" t="s">
        <v>39</v>
      </c>
      <c r="D158" s="15" t="s">
        <v>393</v>
      </c>
      <c r="E158" s="13">
        <v>6</v>
      </c>
      <c r="F158" s="13">
        <v>1</v>
      </c>
      <c r="G158" s="13">
        <f t="shared" si="4"/>
        <v>0</v>
      </c>
      <c r="H158" s="13">
        <v>322</v>
      </c>
      <c r="I158" s="14">
        <f t="shared" si="5"/>
        <v>-321.98356164383563</v>
      </c>
      <c r="J158" s="15" t="s">
        <v>394</v>
      </c>
      <c r="K158" s="10" t="s">
        <v>82</v>
      </c>
      <c r="P158">
        <v>24</v>
      </c>
      <c r="Q158" s="17">
        <v>24</v>
      </c>
      <c r="R158" s="16">
        <f>1000/Q158</f>
        <v>41.666666666666664</v>
      </c>
      <c r="S158" s="16">
        <f>8.33*R158</f>
        <v>347.08333333333331</v>
      </c>
      <c r="T158" s="16">
        <f>S158*1.33</f>
        <v>461.62083333333334</v>
      </c>
      <c r="U158" t="s">
        <v>395</v>
      </c>
      <c r="V158" s="20">
        <v>132</v>
      </c>
      <c r="W158" s="19">
        <f>1000/V158</f>
        <v>7.5757575757575761</v>
      </c>
      <c r="X158" s="19">
        <f>8.33*W158</f>
        <v>63.106060606060609</v>
      </c>
      <c r="AE158" s="8"/>
      <c r="AF158" s="8"/>
      <c r="AG158" s="1">
        <v>1</v>
      </c>
      <c r="AH158" s="9">
        <v>1</v>
      </c>
      <c r="AI158" s="8">
        <f>1/AH158</f>
        <v>1</v>
      </c>
      <c r="AJ158" s="8">
        <f>8.33*AI158</f>
        <v>8.33</v>
      </c>
    </row>
    <row r="159" spans="1:36" x14ac:dyDescent="0.2">
      <c r="A159">
        <v>-322</v>
      </c>
      <c r="B159" s="10" t="s">
        <v>75</v>
      </c>
      <c r="C159" s="11" t="s">
        <v>42</v>
      </c>
      <c r="D159" s="15" t="s">
        <v>396</v>
      </c>
      <c r="E159" s="13">
        <v>16</v>
      </c>
      <c r="F159" s="13">
        <v>1</v>
      </c>
      <c r="G159" s="13">
        <f t="shared" si="4"/>
        <v>0</v>
      </c>
      <c r="H159" s="13">
        <v>322</v>
      </c>
      <c r="I159" s="14">
        <f t="shared" si="5"/>
        <v>-321.95616438356166</v>
      </c>
      <c r="J159" s="15" t="s">
        <v>397</v>
      </c>
      <c r="K159" s="10">
        <v>12</v>
      </c>
      <c r="L159" s="16">
        <v>12</v>
      </c>
      <c r="M159" s="16">
        <f>1000/L159</f>
        <v>83.333333333333329</v>
      </c>
      <c r="N159" s="16">
        <f>8.33*M159</f>
        <v>694.16666666666663</v>
      </c>
      <c r="O159" s="16">
        <f>1.613*N159</f>
        <v>1119.6908333333333</v>
      </c>
      <c r="P159" t="s">
        <v>133</v>
      </c>
      <c r="AE159" s="8"/>
      <c r="AF159" s="8"/>
      <c r="AG159" t="s">
        <v>133</v>
      </c>
    </row>
    <row r="160" spans="1:36" x14ac:dyDescent="0.2">
      <c r="A160">
        <v>-322</v>
      </c>
      <c r="B160" s="10" t="s">
        <v>75</v>
      </c>
      <c r="C160" s="11" t="s">
        <v>45</v>
      </c>
      <c r="D160" s="15" t="s">
        <v>398</v>
      </c>
      <c r="E160" s="13">
        <v>26</v>
      </c>
      <c r="F160" s="13">
        <v>1</v>
      </c>
      <c r="G160" s="13">
        <f t="shared" si="4"/>
        <v>0</v>
      </c>
      <c r="H160" s="13">
        <v>322</v>
      </c>
      <c r="I160" s="14">
        <f t="shared" si="5"/>
        <v>-321.92876712328768</v>
      </c>
      <c r="J160" s="15" t="s">
        <v>399</v>
      </c>
      <c r="K160" s="10">
        <v>13</v>
      </c>
      <c r="L160" s="16">
        <v>13</v>
      </c>
      <c r="M160" s="16">
        <f>1000/L160</f>
        <v>76.92307692307692</v>
      </c>
      <c r="N160" s="16">
        <f>8.33*M160</f>
        <v>640.76923076923072</v>
      </c>
      <c r="O160" s="16">
        <f>1.613*N160</f>
        <v>1033.5607692307692</v>
      </c>
      <c r="P160">
        <v>27</v>
      </c>
      <c r="Q160" s="17">
        <v>27</v>
      </c>
      <c r="R160" s="16">
        <f>1000/Q160</f>
        <v>37.037037037037038</v>
      </c>
      <c r="S160" s="16">
        <f>8.33*R160</f>
        <v>308.51851851851853</v>
      </c>
      <c r="T160" s="16">
        <f>S160*1.33</f>
        <v>410.32962962962966</v>
      </c>
      <c r="AE160" s="8"/>
      <c r="AF160" s="8"/>
      <c r="AG160" t="s">
        <v>133</v>
      </c>
    </row>
    <row r="161" spans="1:36" x14ac:dyDescent="0.2">
      <c r="A161">
        <v>-322</v>
      </c>
      <c r="B161" s="10" t="s">
        <v>83</v>
      </c>
      <c r="D161" s="15" t="s">
        <v>400</v>
      </c>
      <c r="E161" s="13">
        <v>4</v>
      </c>
      <c r="F161" s="13">
        <v>2</v>
      </c>
      <c r="G161" s="13">
        <f t="shared" si="4"/>
        <v>31</v>
      </c>
      <c r="H161" s="13">
        <v>322</v>
      </c>
      <c r="I161" s="14">
        <f t="shared" si="5"/>
        <v>-321.90410958904107</v>
      </c>
      <c r="J161" s="15" t="s">
        <v>401</v>
      </c>
      <c r="U161" s="1">
        <v>180</v>
      </c>
      <c r="V161" s="9">
        <v>180</v>
      </c>
      <c r="W161" s="8">
        <f>1000/V161</f>
        <v>5.5555555555555554</v>
      </c>
      <c r="X161" s="8">
        <f>8.33*W161</f>
        <v>46.277777777777779</v>
      </c>
      <c r="AC161" s="1">
        <v>6</v>
      </c>
      <c r="AD161" s="9">
        <v>6</v>
      </c>
      <c r="AE161" s="8">
        <f>1000/AD161</f>
        <v>166.66666666666666</v>
      </c>
      <c r="AF161" s="8">
        <f>8.33*AE161</f>
        <v>1388.3333333333333</v>
      </c>
      <c r="AG161" s="1">
        <v>1</v>
      </c>
      <c r="AH161" s="9">
        <v>1</v>
      </c>
      <c r="AI161" s="8">
        <f>1/AH161</f>
        <v>1</v>
      </c>
      <c r="AJ161" s="8">
        <f>8.33*AI161</f>
        <v>8.33</v>
      </c>
    </row>
    <row r="162" spans="1:36" x14ac:dyDescent="0.2">
      <c r="A162">
        <v>-322</v>
      </c>
      <c r="B162" s="10" t="s">
        <v>83</v>
      </c>
      <c r="C162" s="11" t="s">
        <v>39</v>
      </c>
      <c r="D162" s="15" t="s">
        <v>400</v>
      </c>
      <c r="E162" s="13">
        <v>4</v>
      </c>
      <c r="F162" s="13">
        <v>2</v>
      </c>
      <c r="G162" s="13">
        <f t="shared" si="4"/>
        <v>31</v>
      </c>
      <c r="H162" s="13">
        <v>322</v>
      </c>
      <c r="I162" s="14">
        <f t="shared" si="5"/>
        <v>-321.90410958904107</v>
      </c>
      <c r="J162" s="15" t="s">
        <v>402</v>
      </c>
      <c r="K162" s="10">
        <v>12</v>
      </c>
      <c r="L162" s="16">
        <v>12</v>
      </c>
      <c r="M162" s="16">
        <f>1000/L162</f>
        <v>83.333333333333329</v>
      </c>
      <c r="N162" s="16">
        <f>8.33*M162</f>
        <v>694.16666666666663</v>
      </c>
      <c r="O162" s="16">
        <f>1.613*N162</f>
        <v>1119.6908333333333</v>
      </c>
      <c r="W162" s="8"/>
      <c r="X162" s="8"/>
      <c r="Y162">
        <v>9</v>
      </c>
      <c r="Z162" s="17">
        <v>9</v>
      </c>
      <c r="AA162" s="16">
        <f>1000/Z162</f>
        <v>111.11111111111111</v>
      </c>
      <c r="AB162" s="16">
        <f>8.33*AA162</f>
        <v>925.55555555555554</v>
      </c>
      <c r="AE162" s="8"/>
      <c r="AF162" s="8"/>
    </row>
    <row r="163" spans="1:36" x14ac:dyDescent="0.2">
      <c r="A163">
        <v>-322</v>
      </c>
      <c r="B163" s="10" t="s">
        <v>83</v>
      </c>
      <c r="C163" s="11" t="s">
        <v>42</v>
      </c>
      <c r="D163" s="15" t="s">
        <v>403</v>
      </c>
      <c r="E163" s="13">
        <v>14</v>
      </c>
      <c r="F163" s="13">
        <v>2</v>
      </c>
      <c r="G163" s="13">
        <f t="shared" si="4"/>
        <v>31</v>
      </c>
      <c r="H163" s="13">
        <v>322</v>
      </c>
      <c r="I163" s="14">
        <f t="shared" si="5"/>
        <v>-321.8767123287671</v>
      </c>
      <c r="J163" s="15" t="s">
        <v>404</v>
      </c>
      <c r="L163" s="19">
        <v>12</v>
      </c>
      <c r="M163" s="19">
        <v>83.33</v>
      </c>
      <c r="N163" s="19">
        <v>694.17</v>
      </c>
      <c r="O163" s="19">
        <v>1119.69</v>
      </c>
      <c r="W163" s="8"/>
      <c r="X163" s="8"/>
      <c r="Z163" s="20">
        <v>9</v>
      </c>
      <c r="AA163" s="19">
        <v>111.11</v>
      </c>
      <c r="AB163" s="19">
        <v>925.56</v>
      </c>
      <c r="AE163" s="8"/>
      <c r="AF163" s="8"/>
    </row>
    <row r="164" spans="1:36" x14ac:dyDescent="0.2">
      <c r="A164">
        <v>-322</v>
      </c>
      <c r="B164" s="10" t="s">
        <v>83</v>
      </c>
      <c r="C164" s="11" t="s">
        <v>45</v>
      </c>
      <c r="D164" s="15" t="s">
        <v>405</v>
      </c>
      <c r="E164" s="13">
        <v>24</v>
      </c>
      <c r="F164" s="13">
        <v>2</v>
      </c>
      <c r="G164" s="13">
        <f t="shared" si="4"/>
        <v>31</v>
      </c>
      <c r="H164" s="13">
        <v>322</v>
      </c>
      <c r="I164" s="14">
        <f t="shared" si="5"/>
        <v>-321.84931506849313</v>
      </c>
      <c r="J164" s="15" t="s">
        <v>401</v>
      </c>
      <c r="K164" s="10">
        <v>13.5</v>
      </c>
      <c r="L164" s="16">
        <v>13.5</v>
      </c>
      <c r="M164" s="16">
        <f>1000/L164</f>
        <v>74.074074074074076</v>
      </c>
      <c r="N164" s="16">
        <f>8.33*M164</f>
        <v>617.03703703703707</v>
      </c>
      <c r="O164" s="16">
        <f>1.613*N164</f>
        <v>995.28074074074073</v>
      </c>
      <c r="P164">
        <v>28.5</v>
      </c>
      <c r="Q164" s="17">
        <v>28.5</v>
      </c>
      <c r="R164" s="16">
        <f>1000/Q164</f>
        <v>35.087719298245617</v>
      </c>
      <c r="S164" s="16">
        <f>8.33*R164</f>
        <v>292.28070175438597</v>
      </c>
      <c r="T164" s="16">
        <f>S164*1.33</f>
        <v>388.73333333333335</v>
      </c>
      <c r="W164" s="8"/>
      <c r="X164" s="8"/>
      <c r="Y164">
        <v>12</v>
      </c>
      <c r="Z164" s="17">
        <v>12</v>
      </c>
      <c r="AA164" s="16">
        <f>1000/Z164</f>
        <v>83.333333333333329</v>
      </c>
      <c r="AB164" s="16">
        <f>8.33*AA164</f>
        <v>694.16666666666663</v>
      </c>
      <c r="AC164" t="s">
        <v>133</v>
      </c>
      <c r="AD164" s="17" t="s">
        <v>133</v>
      </c>
      <c r="AE164" s="8"/>
      <c r="AF164" s="8"/>
      <c r="AG164" t="s">
        <v>133</v>
      </c>
    </row>
    <row r="165" spans="1:36" x14ac:dyDescent="0.2">
      <c r="A165">
        <v>-322</v>
      </c>
      <c r="B165" s="10" t="s">
        <v>127</v>
      </c>
      <c r="D165" s="15" t="s">
        <v>406</v>
      </c>
      <c r="E165" s="13">
        <v>5</v>
      </c>
      <c r="F165" s="13">
        <v>3</v>
      </c>
      <c r="G165" s="13">
        <f t="shared" si="4"/>
        <v>59</v>
      </c>
      <c r="H165" s="13">
        <v>322</v>
      </c>
      <c r="I165" s="14">
        <f t="shared" si="5"/>
        <v>-321.82465753424657</v>
      </c>
      <c r="J165" s="15" t="s">
        <v>407</v>
      </c>
      <c r="U165" s="1">
        <v>180</v>
      </c>
      <c r="V165" s="9">
        <v>180</v>
      </c>
      <c r="W165" s="8">
        <f>1000/V165</f>
        <v>5.5555555555555554</v>
      </c>
      <c r="X165" s="8">
        <f>8.33*W165</f>
        <v>46.277777777777779</v>
      </c>
      <c r="Y165" s="1">
        <v>12</v>
      </c>
      <c r="Z165" s="9">
        <v>12</v>
      </c>
      <c r="AA165" s="8">
        <f>1000/Z165</f>
        <v>83.333333333333329</v>
      </c>
      <c r="AB165" s="8">
        <f>8.33*AA165</f>
        <v>694.16666666666663</v>
      </c>
      <c r="AC165" s="1">
        <v>6</v>
      </c>
      <c r="AD165" s="9">
        <v>6</v>
      </c>
      <c r="AE165" s="8">
        <f>1000/AD165</f>
        <v>166.66666666666666</v>
      </c>
      <c r="AF165" s="8">
        <f>8.33*AE165</f>
        <v>1388.3333333333333</v>
      </c>
      <c r="AG165" s="1" t="s">
        <v>41</v>
      </c>
    </row>
    <row r="166" spans="1:36" x14ac:dyDescent="0.2">
      <c r="A166">
        <v>-322</v>
      </c>
      <c r="B166" s="10" t="s">
        <v>185</v>
      </c>
      <c r="C166" s="11" t="s">
        <v>39</v>
      </c>
      <c r="D166" s="15" t="s">
        <v>406</v>
      </c>
      <c r="E166" s="13">
        <v>5</v>
      </c>
      <c r="F166" s="13">
        <v>3</v>
      </c>
      <c r="G166" s="13">
        <f t="shared" si="4"/>
        <v>59</v>
      </c>
      <c r="H166" s="13">
        <v>322</v>
      </c>
      <c r="I166" s="14">
        <f t="shared" si="5"/>
        <v>-321.82465753424657</v>
      </c>
      <c r="J166" s="15" t="s">
        <v>408</v>
      </c>
      <c r="K166" s="10" t="s">
        <v>133</v>
      </c>
      <c r="L166" s="16" t="s">
        <v>133</v>
      </c>
      <c r="P166">
        <v>24</v>
      </c>
      <c r="Q166" s="17">
        <v>24</v>
      </c>
      <c r="R166" s="16">
        <f>1000/Q166</f>
        <v>41.666666666666664</v>
      </c>
      <c r="S166" s="16">
        <f>8.33*R166</f>
        <v>347.08333333333331</v>
      </c>
      <c r="T166" s="16">
        <f>S166*1.33</f>
        <v>461.62083333333334</v>
      </c>
      <c r="W166" s="8"/>
      <c r="X166" s="8"/>
      <c r="AA166" s="8"/>
      <c r="AB166" s="8"/>
      <c r="AE166" s="8"/>
      <c r="AF166" s="8"/>
      <c r="AH166" s="9"/>
    </row>
    <row r="167" spans="1:36" x14ac:dyDescent="0.2">
      <c r="A167">
        <v>-322</v>
      </c>
      <c r="B167" s="10" t="s">
        <v>185</v>
      </c>
      <c r="C167" s="11" t="s">
        <v>42</v>
      </c>
      <c r="D167" s="15" t="s">
        <v>409</v>
      </c>
      <c r="E167" s="13">
        <v>15</v>
      </c>
      <c r="F167" s="13">
        <v>3</v>
      </c>
      <c r="G167" s="13">
        <f t="shared" si="4"/>
        <v>59</v>
      </c>
      <c r="H167" s="13">
        <v>322</v>
      </c>
      <c r="I167" s="14">
        <f t="shared" si="5"/>
        <v>-321.7972602739726</v>
      </c>
      <c r="J167" s="15" t="s">
        <v>410</v>
      </c>
      <c r="K167" s="10" t="s">
        <v>133</v>
      </c>
      <c r="L167" s="16" t="s">
        <v>133</v>
      </c>
      <c r="Q167" s="20">
        <v>24</v>
      </c>
      <c r="R167" s="19">
        <v>41.67</v>
      </c>
      <c r="S167" s="19">
        <v>347.08</v>
      </c>
      <c r="T167" s="19">
        <f>S167*1.33</f>
        <v>461.6164</v>
      </c>
      <c r="W167" s="8"/>
      <c r="X167" s="8"/>
      <c r="AA167" s="8"/>
      <c r="AB167" s="8"/>
      <c r="AE167" s="8"/>
      <c r="AF167" s="8"/>
    </row>
    <row r="168" spans="1:36" x14ac:dyDescent="0.2">
      <c r="A168">
        <v>-322</v>
      </c>
      <c r="B168" s="10" t="s">
        <v>127</v>
      </c>
      <c r="C168" s="11" t="s">
        <v>45</v>
      </c>
      <c r="D168" s="15" t="s">
        <v>411</v>
      </c>
      <c r="E168" s="13">
        <v>25</v>
      </c>
      <c r="F168" s="13">
        <v>3</v>
      </c>
      <c r="G168" s="13">
        <f t="shared" si="4"/>
        <v>59</v>
      </c>
      <c r="H168" s="13">
        <v>322</v>
      </c>
      <c r="I168" s="14">
        <f t="shared" si="5"/>
        <v>-321.76986301369863</v>
      </c>
      <c r="J168" s="15" t="s">
        <v>407</v>
      </c>
      <c r="P168">
        <v>22.5</v>
      </c>
      <c r="Q168" s="17">
        <v>22.5</v>
      </c>
      <c r="R168" s="16">
        <f>1000/Q168</f>
        <v>44.444444444444443</v>
      </c>
      <c r="S168" s="16">
        <f>8.33*R168</f>
        <v>370.22222222222223</v>
      </c>
      <c r="T168" s="16">
        <f>S168*1.33</f>
        <v>492.39555555555557</v>
      </c>
      <c r="W168" s="8"/>
      <c r="X168" s="8"/>
      <c r="AA168" s="8"/>
      <c r="AB168" s="8"/>
      <c r="AE168" s="8"/>
      <c r="AF168" s="8"/>
    </row>
    <row r="169" spans="1:36" x14ac:dyDescent="0.2">
      <c r="A169">
        <v>-321</v>
      </c>
      <c r="B169" s="10" t="s">
        <v>60</v>
      </c>
      <c r="D169" s="15" t="s">
        <v>412</v>
      </c>
      <c r="E169" s="13">
        <v>4</v>
      </c>
      <c r="F169" s="13">
        <v>4</v>
      </c>
      <c r="G169" s="13">
        <f t="shared" si="4"/>
        <v>90</v>
      </c>
      <c r="H169" s="13">
        <v>322</v>
      </c>
      <c r="I169" s="14">
        <f t="shared" si="5"/>
        <v>-321.74246575342465</v>
      </c>
      <c r="J169" s="15" t="s">
        <v>413</v>
      </c>
      <c r="U169" s="1">
        <v>180</v>
      </c>
      <c r="V169" s="9">
        <v>180</v>
      </c>
      <c r="W169" s="8">
        <f>1000/V169</f>
        <v>5.5555555555555554</v>
      </c>
      <c r="X169" s="8">
        <f>8.33*W169</f>
        <v>46.277777777777779</v>
      </c>
      <c r="Y169" s="1">
        <v>12</v>
      </c>
      <c r="Z169" s="9">
        <v>12</v>
      </c>
      <c r="AA169" s="8">
        <f>1000/Z169</f>
        <v>83.333333333333329</v>
      </c>
      <c r="AB169" s="8">
        <f>8.33*AA169</f>
        <v>694.16666666666663</v>
      </c>
      <c r="AC169" s="1">
        <v>6</v>
      </c>
      <c r="AD169" s="9">
        <v>6</v>
      </c>
      <c r="AE169" s="8">
        <f>1000/AD169</f>
        <v>166.66666666666666</v>
      </c>
      <c r="AF169" s="8">
        <f>8.33*AE169</f>
        <v>1388.3333333333333</v>
      </c>
      <c r="AG169" s="1" t="s">
        <v>41</v>
      </c>
    </row>
    <row r="170" spans="1:36" x14ac:dyDescent="0.2">
      <c r="A170">
        <v>-321</v>
      </c>
      <c r="B170" s="10" t="s">
        <v>414</v>
      </c>
      <c r="C170" s="11" t="s">
        <v>39</v>
      </c>
      <c r="D170" s="15" t="s">
        <v>412</v>
      </c>
      <c r="E170" s="13">
        <v>4</v>
      </c>
      <c r="F170" s="13">
        <v>4</v>
      </c>
      <c r="G170" s="13">
        <f t="shared" si="4"/>
        <v>90</v>
      </c>
      <c r="H170" s="13">
        <v>322</v>
      </c>
      <c r="I170" s="14">
        <f t="shared" si="5"/>
        <v>-321.74246575342465</v>
      </c>
      <c r="J170" s="15" t="s">
        <v>415</v>
      </c>
      <c r="K170" s="10" t="s">
        <v>82</v>
      </c>
      <c r="P170">
        <v>22</v>
      </c>
      <c r="Q170" s="17">
        <v>22</v>
      </c>
      <c r="R170" s="16">
        <f>1000/Q170</f>
        <v>45.454545454545453</v>
      </c>
      <c r="S170" s="16">
        <f>8.33*R170</f>
        <v>378.63636363636363</v>
      </c>
      <c r="T170" s="16">
        <f>S170*1.33</f>
        <v>503.58636363636367</v>
      </c>
      <c r="W170" s="8"/>
      <c r="X170" s="8"/>
      <c r="AA170" s="8"/>
      <c r="AB170" s="8"/>
      <c r="AE170" s="8"/>
      <c r="AF170" s="8"/>
      <c r="AH170" s="9"/>
    </row>
    <row r="171" spans="1:36" x14ac:dyDescent="0.2">
      <c r="A171">
        <v>-321</v>
      </c>
      <c r="B171" s="10" t="s">
        <v>414</v>
      </c>
      <c r="C171" s="11" t="s">
        <v>42</v>
      </c>
      <c r="D171" s="15" t="s">
        <v>416</v>
      </c>
      <c r="E171" s="13">
        <v>14</v>
      </c>
      <c r="F171" s="13">
        <v>4</v>
      </c>
      <c r="G171" s="13">
        <f t="shared" si="4"/>
        <v>90</v>
      </c>
      <c r="H171" s="13">
        <v>322</v>
      </c>
      <c r="I171" s="14">
        <f t="shared" si="5"/>
        <v>-321.71506849315068</v>
      </c>
      <c r="J171" s="15" t="s">
        <v>417</v>
      </c>
      <c r="Q171" s="20"/>
      <c r="R171" s="19"/>
      <c r="S171" s="19"/>
      <c r="W171" s="8"/>
      <c r="X171" s="8"/>
      <c r="AA171" s="8"/>
      <c r="AB171" s="8"/>
      <c r="AE171" s="8"/>
      <c r="AF171" s="8"/>
    </row>
    <row r="172" spans="1:36" x14ac:dyDescent="0.2">
      <c r="A172">
        <v>-321</v>
      </c>
      <c r="B172" s="10" t="s">
        <v>60</v>
      </c>
      <c r="C172" s="11" t="s">
        <v>45</v>
      </c>
      <c r="D172" s="15" t="s">
        <v>418</v>
      </c>
      <c r="E172" s="13">
        <v>24</v>
      </c>
      <c r="F172" s="13">
        <v>4</v>
      </c>
      <c r="G172" s="13">
        <f t="shared" si="4"/>
        <v>90</v>
      </c>
      <c r="H172" s="13">
        <v>322</v>
      </c>
      <c r="I172" s="14">
        <f t="shared" si="5"/>
        <v>-321.68767123287671</v>
      </c>
      <c r="J172" s="15" t="s">
        <v>413</v>
      </c>
      <c r="K172" s="10" t="s">
        <v>133</v>
      </c>
      <c r="L172" s="16" t="s">
        <v>133</v>
      </c>
      <c r="P172">
        <v>19.5</v>
      </c>
      <c r="Q172" s="17">
        <v>19.5</v>
      </c>
      <c r="R172" s="16">
        <f>1000/Q172</f>
        <v>51.282051282051285</v>
      </c>
      <c r="S172" s="16">
        <f>8.33*R172</f>
        <v>427.17948717948718</v>
      </c>
      <c r="T172" s="16">
        <f>S172*1.33</f>
        <v>568.14871794871794</v>
      </c>
      <c r="W172" s="8"/>
      <c r="X172" s="8"/>
      <c r="AA172" s="8"/>
      <c r="AB172" s="8"/>
      <c r="AE172" s="8"/>
      <c r="AF172" s="8"/>
    </row>
    <row r="173" spans="1:36" x14ac:dyDescent="0.2">
      <c r="A173">
        <v>-321</v>
      </c>
      <c r="B173" s="10" t="s">
        <v>285</v>
      </c>
      <c r="D173" s="15" t="s">
        <v>419</v>
      </c>
      <c r="E173" s="13">
        <v>31</v>
      </c>
      <c r="F173" s="13">
        <v>7</v>
      </c>
      <c r="G173" s="13">
        <f t="shared" si="4"/>
        <v>181</v>
      </c>
      <c r="H173" s="13">
        <v>322</v>
      </c>
      <c r="I173" s="14">
        <f t="shared" si="5"/>
        <v>-321.41917808219176</v>
      </c>
      <c r="J173" s="15" t="s">
        <v>420</v>
      </c>
      <c r="K173" s="10" t="s">
        <v>82</v>
      </c>
      <c r="W173" s="8"/>
      <c r="X173" s="8"/>
      <c r="Y173" s="1">
        <v>12</v>
      </c>
      <c r="Z173" s="9">
        <v>12</v>
      </c>
      <c r="AA173" s="8">
        <f>1000/Z173</f>
        <v>83.333333333333329</v>
      </c>
      <c r="AB173" s="8">
        <f>8.33*AA173</f>
        <v>694.16666666666663</v>
      </c>
      <c r="AC173" s="1">
        <v>6</v>
      </c>
      <c r="AD173" s="9">
        <v>6</v>
      </c>
      <c r="AE173" s="8">
        <f>1000/AD173</f>
        <v>166.66666666666666</v>
      </c>
      <c r="AF173" s="8">
        <f>8.33*AE173</f>
        <v>1388.3333333333333</v>
      </c>
      <c r="AG173" s="1">
        <v>1</v>
      </c>
      <c r="AH173" s="9">
        <v>1</v>
      </c>
      <c r="AI173" s="8">
        <f>1/AH173</f>
        <v>1</v>
      </c>
      <c r="AJ173" s="8">
        <f>8.33*AI173</f>
        <v>8.33</v>
      </c>
    </row>
    <row r="174" spans="1:36" x14ac:dyDescent="0.2">
      <c r="A174">
        <v>-321</v>
      </c>
      <c r="B174" s="10" t="s">
        <v>72</v>
      </c>
      <c r="D174" s="15" t="s">
        <v>421</v>
      </c>
      <c r="E174" s="13">
        <v>30</v>
      </c>
      <c r="F174" s="13">
        <v>8</v>
      </c>
      <c r="G174" s="13">
        <f t="shared" si="4"/>
        <v>212</v>
      </c>
      <c r="H174" s="13">
        <v>322</v>
      </c>
      <c r="I174" s="14">
        <f t="shared" si="5"/>
        <v>-321.33698630136985</v>
      </c>
      <c r="J174" s="15" t="s">
        <v>422</v>
      </c>
      <c r="U174" s="1">
        <v>120</v>
      </c>
      <c r="V174" s="9">
        <v>120</v>
      </c>
      <c r="W174" s="8">
        <f>1000/V174</f>
        <v>8.3333333333333339</v>
      </c>
      <c r="X174" s="8">
        <f>8.33*W174</f>
        <v>69.416666666666671</v>
      </c>
      <c r="Y174" s="1">
        <v>18</v>
      </c>
      <c r="Z174" s="9">
        <v>18</v>
      </c>
      <c r="AA174" s="8">
        <f>1000/Z174</f>
        <v>55.555555555555557</v>
      </c>
      <c r="AB174" s="8">
        <f>8.33*AA174</f>
        <v>462.77777777777777</v>
      </c>
      <c r="AC174" s="1">
        <v>6</v>
      </c>
      <c r="AD174" s="9">
        <v>6</v>
      </c>
      <c r="AE174" s="8">
        <f>1000/AD174</f>
        <v>166.66666666666666</v>
      </c>
      <c r="AF174" s="8">
        <f>8.33*AE174</f>
        <v>1388.3333333333333</v>
      </c>
      <c r="AG174" s="1">
        <v>1</v>
      </c>
      <c r="AH174" s="9">
        <v>1</v>
      </c>
      <c r="AI174" s="8">
        <f>1/AH174</f>
        <v>1</v>
      </c>
      <c r="AJ174" s="8">
        <f>8.33*AI174</f>
        <v>8.33</v>
      </c>
    </row>
    <row r="175" spans="1:36" x14ac:dyDescent="0.2">
      <c r="A175">
        <v>-321</v>
      </c>
      <c r="B175" s="10" t="s">
        <v>72</v>
      </c>
      <c r="C175" s="11" t="s">
        <v>39</v>
      </c>
      <c r="D175" s="15" t="s">
        <v>421</v>
      </c>
      <c r="E175" s="13">
        <v>30</v>
      </c>
      <c r="F175" s="13">
        <v>8</v>
      </c>
      <c r="G175" s="13">
        <f t="shared" si="4"/>
        <v>212</v>
      </c>
      <c r="H175" s="13">
        <v>322</v>
      </c>
      <c r="I175" s="14">
        <f t="shared" si="5"/>
        <v>-321.33698630136985</v>
      </c>
      <c r="J175" s="15" t="s">
        <v>423</v>
      </c>
      <c r="K175" s="10" t="s">
        <v>82</v>
      </c>
      <c r="P175">
        <v>24</v>
      </c>
      <c r="Q175" s="17">
        <v>24</v>
      </c>
      <c r="R175" s="16">
        <f>1000/Q175</f>
        <v>41.666666666666664</v>
      </c>
      <c r="S175" s="16">
        <f>8.33*R175</f>
        <v>347.08333333333331</v>
      </c>
      <c r="T175" s="16">
        <f>S175*1.33</f>
        <v>461.62083333333334</v>
      </c>
      <c r="W175" s="8"/>
      <c r="X175" s="8"/>
    </row>
    <row r="176" spans="1:36" x14ac:dyDescent="0.2">
      <c r="A176">
        <v>-321</v>
      </c>
      <c r="B176" s="10" t="s">
        <v>72</v>
      </c>
      <c r="C176" s="11" t="s">
        <v>42</v>
      </c>
      <c r="D176" s="15" t="s">
        <v>424</v>
      </c>
      <c r="E176" s="13">
        <v>9</v>
      </c>
      <c r="F176" s="13">
        <v>9</v>
      </c>
      <c r="G176" s="13">
        <f t="shared" si="4"/>
        <v>243</v>
      </c>
      <c r="H176" s="13">
        <v>322</v>
      </c>
      <c r="I176" s="14">
        <f t="shared" si="5"/>
        <v>-321.30958904109588</v>
      </c>
      <c r="J176" s="15" t="s">
        <v>425</v>
      </c>
      <c r="W176" s="8"/>
      <c r="X176" s="8"/>
    </row>
    <row r="177" spans="1:37" x14ac:dyDescent="0.2">
      <c r="A177">
        <v>-321</v>
      </c>
      <c r="B177" s="10" t="s">
        <v>72</v>
      </c>
      <c r="C177" s="11" t="s">
        <v>45</v>
      </c>
      <c r="D177" s="15" t="s">
        <v>426</v>
      </c>
      <c r="E177" s="13">
        <v>19</v>
      </c>
      <c r="F177" s="13">
        <v>9</v>
      </c>
      <c r="G177" s="13">
        <f t="shared" si="4"/>
        <v>243</v>
      </c>
      <c r="H177" s="13">
        <v>322</v>
      </c>
      <c r="I177" s="14">
        <f t="shared" si="5"/>
        <v>-321.2821917808219</v>
      </c>
      <c r="J177" s="15" t="s">
        <v>422</v>
      </c>
      <c r="K177" s="10">
        <v>12</v>
      </c>
      <c r="L177" s="16">
        <v>12</v>
      </c>
      <c r="M177" s="16">
        <f>1000/L177</f>
        <v>83.333333333333329</v>
      </c>
      <c r="N177" s="16">
        <f>8.33*M177</f>
        <v>694.16666666666663</v>
      </c>
      <c r="O177" s="16">
        <f>1.613*N177</f>
        <v>1119.6908333333333</v>
      </c>
      <c r="P177">
        <v>22</v>
      </c>
      <c r="Q177" s="17">
        <v>22</v>
      </c>
      <c r="R177" s="16">
        <f>1000/Q177</f>
        <v>45.454545454545453</v>
      </c>
      <c r="S177" s="16">
        <f>8.33*R177</f>
        <v>378.63636363636363</v>
      </c>
      <c r="T177" s="16">
        <f>S177*1.33</f>
        <v>503.58636363636367</v>
      </c>
      <c r="W177" s="8"/>
      <c r="X177" s="8"/>
    </row>
    <row r="178" spans="1:37" x14ac:dyDescent="0.2">
      <c r="A178">
        <v>-309</v>
      </c>
      <c r="D178" s="15" t="s">
        <v>427</v>
      </c>
      <c r="E178" s="13">
        <v>22</v>
      </c>
      <c r="F178" s="13">
        <v>4</v>
      </c>
      <c r="G178" s="13">
        <f t="shared" si="4"/>
        <v>90</v>
      </c>
      <c r="H178" s="13">
        <v>310</v>
      </c>
      <c r="I178" s="14">
        <f t="shared" si="5"/>
        <v>-309.69315068493148</v>
      </c>
      <c r="J178" s="15" t="s">
        <v>428</v>
      </c>
      <c r="K178" s="10">
        <v>6</v>
      </c>
      <c r="W178" s="8"/>
      <c r="X178" s="8"/>
    </row>
    <row r="179" spans="1:37" x14ac:dyDescent="0.2">
      <c r="A179">
        <v>-309</v>
      </c>
      <c r="B179" s="10" t="s">
        <v>285</v>
      </c>
      <c r="D179" s="15" t="s">
        <v>429</v>
      </c>
      <c r="E179" s="13">
        <v>17</v>
      </c>
      <c r="F179" s="13">
        <v>8</v>
      </c>
      <c r="G179" s="13">
        <f t="shared" si="4"/>
        <v>212</v>
      </c>
      <c r="H179" s="13">
        <v>310</v>
      </c>
      <c r="I179" s="14">
        <f t="shared" si="5"/>
        <v>-309.37260273972601</v>
      </c>
      <c r="J179" s="15" t="s">
        <v>430</v>
      </c>
      <c r="U179" s="1">
        <v>180</v>
      </c>
      <c r="V179" s="9">
        <v>180</v>
      </c>
      <c r="W179" s="8">
        <f>1000/V179</f>
        <v>5.5555555555555554</v>
      </c>
      <c r="X179" s="8">
        <f>8.33*W179</f>
        <v>46.277777777777779</v>
      </c>
    </row>
    <row r="180" spans="1:37" x14ac:dyDescent="0.2">
      <c r="A180">
        <v>-309</v>
      </c>
      <c r="B180" s="10" t="s">
        <v>362</v>
      </c>
      <c r="C180" s="11" t="s">
        <v>41</v>
      </c>
      <c r="D180" s="25" t="s">
        <v>429</v>
      </c>
      <c r="E180" s="13">
        <v>17</v>
      </c>
      <c r="F180" s="13">
        <v>8</v>
      </c>
      <c r="G180" s="13">
        <f t="shared" si="4"/>
        <v>212</v>
      </c>
      <c r="H180" s="13">
        <v>310</v>
      </c>
      <c r="I180" s="14">
        <f t="shared" si="5"/>
        <v>-309.37260273972601</v>
      </c>
      <c r="J180" s="25" t="s">
        <v>430</v>
      </c>
      <c r="P180">
        <v>26</v>
      </c>
      <c r="Q180" s="17">
        <v>26</v>
      </c>
      <c r="R180" s="16">
        <f>1000/Q180</f>
        <v>38.46153846153846</v>
      </c>
      <c r="S180" s="16">
        <f>8.33*R180</f>
        <v>320.38461538461536</v>
      </c>
      <c r="T180" s="16">
        <f>S180*1.33</f>
        <v>426.11153846153843</v>
      </c>
      <c r="Y180" t="s">
        <v>41</v>
      </c>
    </row>
    <row r="181" spans="1:37" x14ac:dyDescent="0.2">
      <c r="A181">
        <v>-309</v>
      </c>
      <c r="B181" s="10" t="s">
        <v>72</v>
      </c>
      <c r="C181" s="11" t="s">
        <v>39</v>
      </c>
      <c r="D181" s="15" t="s">
        <v>431</v>
      </c>
      <c r="E181" s="13">
        <v>16</v>
      </c>
      <c r="F181" s="13">
        <v>9</v>
      </c>
      <c r="G181" s="13">
        <f t="shared" si="4"/>
        <v>243</v>
      </c>
      <c r="H181" s="13">
        <v>310</v>
      </c>
      <c r="I181" s="14">
        <f t="shared" si="5"/>
        <v>-309.29041095890409</v>
      </c>
      <c r="J181" s="15" t="s">
        <v>432</v>
      </c>
      <c r="P181">
        <v>18</v>
      </c>
      <c r="Q181" s="17">
        <v>18</v>
      </c>
      <c r="R181" s="16">
        <f>1000/Q181</f>
        <v>55.555555555555557</v>
      </c>
      <c r="S181" s="16">
        <f>8.33*R181</f>
        <v>462.77777777777777</v>
      </c>
      <c r="T181" s="16">
        <f>S181*1.33</f>
        <v>615.49444444444453</v>
      </c>
      <c r="AG181" t="s">
        <v>97</v>
      </c>
      <c r="AH181" s="17">
        <v>1</v>
      </c>
      <c r="AI181" s="16">
        <f>1/AH181</f>
        <v>1</v>
      </c>
      <c r="AJ181" s="16">
        <f>8.33*AI181</f>
        <v>8.33</v>
      </c>
    </row>
    <row r="182" spans="1:37" x14ac:dyDescent="0.2">
      <c r="A182">
        <v>-309</v>
      </c>
      <c r="B182" s="10" t="s">
        <v>72</v>
      </c>
      <c r="C182" s="11" t="s">
        <v>42</v>
      </c>
      <c r="D182" s="15" t="s">
        <v>433</v>
      </c>
      <c r="E182" s="13">
        <v>26</v>
      </c>
      <c r="F182" s="13">
        <v>9</v>
      </c>
      <c r="G182" s="13">
        <f t="shared" si="4"/>
        <v>243</v>
      </c>
      <c r="H182" s="13">
        <v>310</v>
      </c>
      <c r="I182" s="14">
        <f t="shared" si="5"/>
        <v>-309.26301369863012</v>
      </c>
      <c r="J182" s="15" t="s">
        <v>434</v>
      </c>
      <c r="AH182" s="20">
        <v>1</v>
      </c>
      <c r="AI182" s="19">
        <v>1</v>
      </c>
      <c r="AJ182" s="19">
        <v>8.33</v>
      </c>
    </row>
    <row r="183" spans="1:37" x14ac:dyDescent="0.2">
      <c r="A183">
        <v>-309</v>
      </c>
      <c r="B183" s="10" t="s">
        <v>72</v>
      </c>
      <c r="C183" s="11" t="s">
        <v>45</v>
      </c>
      <c r="D183" s="15" t="s">
        <v>435</v>
      </c>
      <c r="E183" s="13">
        <v>6</v>
      </c>
      <c r="F183" s="13">
        <v>10</v>
      </c>
      <c r="G183" s="13">
        <f t="shared" si="4"/>
        <v>273</v>
      </c>
      <c r="H183" s="13">
        <v>310</v>
      </c>
      <c r="I183" s="14">
        <f t="shared" si="5"/>
        <v>-309.23561643835615</v>
      </c>
      <c r="J183" s="15" t="s">
        <v>436</v>
      </c>
      <c r="P183" t="s">
        <v>41</v>
      </c>
      <c r="AG183">
        <v>1.5</v>
      </c>
      <c r="AH183" s="17">
        <v>1.5</v>
      </c>
      <c r="AI183" s="16">
        <f>1/AH183</f>
        <v>0.66666666666666663</v>
      </c>
      <c r="AJ183" s="16">
        <f>8.33*AI183</f>
        <v>5.5533333333333328</v>
      </c>
    </row>
    <row r="184" spans="1:37" x14ac:dyDescent="0.2">
      <c r="A184">
        <v>-308</v>
      </c>
      <c r="B184" s="10" t="s">
        <v>437</v>
      </c>
      <c r="D184" s="15" t="s">
        <v>438</v>
      </c>
      <c r="E184" s="13">
        <v>10</v>
      </c>
      <c r="F184" s="13">
        <v>4</v>
      </c>
      <c r="G184" s="13">
        <f t="shared" si="4"/>
        <v>90</v>
      </c>
      <c r="H184" s="13">
        <v>310</v>
      </c>
      <c r="I184" s="14">
        <f t="shared" si="5"/>
        <v>-309.72602739726028</v>
      </c>
      <c r="J184" s="15" t="s">
        <v>439</v>
      </c>
      <c r="K184" s="10">
        <v>6</v>
      </c>
    </row>
    <row r="185" spans="1:37" x14ac:dyDescent="0.2">
      <c r="A185">
        <v>-308</v>
      </c>
      <c r="B185" s="10" t="s">
        <v>60</v>
      </c>
      <c r="D185" s="15" t="s">
        <v>440</v>
      </c>
      <c r="E185" s="13">
        <v>10</v>
      </c>
      <c r="F185" s="13">
        <v>4</v>
      </c>
      <c r="G185" s="13">
        <f t="shared" si="4"/>
        <v>90</v>
      </c>
      <c r="H185" s="13">
        <v>309</v>
      </c>
      <c r="I185" s="14">
        <f t="shared" si="5"/>
        <v>-308.72602739726028</v>
      </c>
      <c r="J185" s="15" t="s">
        <v>441</v>
      </c>
      <c r="AG185" s="1">
        <v>1</v>
      </c>
      <c r="AH185" s="9">
        <v>1</v>
      </c>
      <c r="AI185" s="8">
        <f>1/AH185</f>
        <v>1</v>
      </c>
      <c r="AJ185" s="8">
        <f>8.33*AI185</f>
        <v>8.33</v>
      </c>
    </row>
    <row r="186" spans="1:37" x14ac:dyDescent="0.2">
      <c r="A186">
        <v>-308</v>
      </c>
      <c r="B186" s="10" t="s">
        <v>54</v>
      </c>
      <c r="C186" s="11" t="s">
        <v>39</v>
      </c>
      <c r="D186" s="15" t="s">
        <v>440</v>
      </c>
      <c r="E186" s="13">
        <v>10</v>
      </c>
      <c r="F186" s="13">
        <v>4</v>
      </c>
      <c r="G186" s="13">
        <f t="shared" si="4"/>
        <v>90</v>
      </c>
      <c r="H186" s="13">
        <v>309</v>
      </c>
      <c r="I186" s="14">
        <f t="shared" si="5"/>
        <v>-308.72602739726028</v>
      </c>
      <c r="J186" s="15" t="s">
        <v>442</v>
      </c>
      <c r="K186" s="10">
        <v>7.5</v>
      </c>
      <c r="L186" s="16">
        <v>7.5</v>
      </c>
      <c r="M186" s="16">
        <f>1000/L186</f>
        <v>133.33333333333334</v>
      </c>
      <c r="N186" s="16">
        <f>8.33*M186</f>
        <v>1110.6666666666667</v>
      </c>
      <c r="O186" s="16">
        <f>1.613*N186</f>
        <v>1791.5053333333335</v>
      </c>
      <c r="P186" t="s">
        <v>41</v>
      </c>
    </row>
    <row r="187" spans="1:37" x14ac:dyDescent="0.2">
      <c r="A187">
        <v>-308</v>
      </c>
      <c r="B187" s="10" t="s">
        <v>54</v>
      </c>
      <c r="C187" s="11" t="s">
        <v>42</v>
      </c>
      <c r="D187" s="15" t="s">
        <v>443</v>
      </c>
      <c r="E187" s="13">
        <v>20</v>
      </c>
      <c r="F187" s="13">
        <v>4</v>
      </c>
      <c r="G187" s="13">
        <f t="shared" si="4"/>
        <v>90</v>
      </c>
      <c r="H187" s="13">
        <v>309</v>
      </c>
      <c r="I187" s="14">
        <f t="shared" si="5"/>
        <v>-308.69863013698631</v>
      </c>
      <c r="J187" s="15" t="s">
        <v>444</v>
      </c>
    </row>
    <row r="188" spans="1:37" x14ac:dyDescent="0.2">
      <c r="A188">
        <v>-308</v>
      </c>
      <c r="B188" s="10" t="s">
        <v>60</v>
      </c>
      <c r="C188" s="11" t="s">
        <v>45</v>
      </c>
      <c r="D188" s="15" t="s">
        <v>445</v>
      </c>
      <c r="E188" s="13">
        <v>30</v>
      </c>
      <c r="F188" s="13">
        <v>4</v>
      </c>
      <c r="G188" s="13">
        <f t="shared" si="4"/>
        <v>90</v>
      </c>
      <c r="H188" s="13">
        <v>309</v>
      </c>
      <c r="I188" s="14">
        <f t="shared" si="5"/>
        <v>-308.67123287671234</v>
      </c>
      <c r="J188" s="15" t="s">
        <v>441</v>
      </c>
      <c r="K188" s="10" t="s">
        <v>446</v>
      </c>
      <c r="L188" s="16">
        <v>13.5</v>
      </c>
      <c r="M188" s="16">
        <f>1000/L188</f>
        <v>74.074074074074076</v>
      </c>
      <c r="N188" s="16">
        <f>8.33*M188</f>
        <v>617.03703703703707</v>
      </c>
      <c r="O188" s="16">
        <f>1.613*N188</f>
        <v>995.28074074074073</v>
      </c>
      <c r="AK188" t="s">
        <v>447</v>
      </c>
    </row>
    <row r="189" spans="1:37" x14ac:dyDescent="0.2">
      <c r="A189">
        <v>-308</v>
      </c>
      <c r="B189" s="10" t="s">
        <v>285</v>
      </c>
      <c r="D189" s="15" t="s">
        <v>448</v>
      </c>
      <c r="E189" s="13">
        <v>6</v>
      </c>
      <c r="F189" s="13">
        <v>8</v>
      </c>
      <c r="G189" s="13">
        <f t="shared" si="4"/>
        <v>212</v>
      </c>
      <c r="H189" s="13">
        <v>309</v>
      </c>
      <c r="I189" s="14">
        <f t="shared" si="5"/>
        <v>-308.40273972602739</v>
      </c>
      <c r="J189" s="15" t="s">
        <v>449</v>
      </c>
      <c r="AG189" s="1" t="s">
        <v>450</v>
      </c>
    </row>
    <row r="190" spans="1:37" x14ac:dyDescent="0.2">
      <c r="A190">
        <v>-308</v>
      </c>
      <c r="B190" s="10" t="s">
        <v>362</v>
      </c>
      <c r="C190" s="11" t="s">
        <v>39</v>
      </c>
      <c r="D190" s="15" t="s">
        <v>448</v>
      </c>
      <c r="E190" s="13">
        <v>6</v>
      </c>
      <c r="F190" s="13">
        <v>8</v>
      </c>
      <c r="G190" s="13">
        <f t="shared" si="4"/>
        <v>212</v>
      </c>
      <c r="H190" s="13">
        <v>309</v>
      </c>
      <c r="I190" s="14">
        <f t="shared" si="5"/>
        <v>-308.40273972602739</v>
      </c>
      <c r="J190" s="15" t="s">
        <v>451</v>
      </c>
      <c r="P190">
        <v>15</v>
      </c>
      <c r="Q190" s="17">
        <v>15</v>
      </c>
      <c r="R190" s="16">
        <f>1000/Q190</f>
        <v>66.666666666666671</v>
      </c>
      <c r="S190" s="16">
        <f>8.33*R190</f>
        <v>555.33333333333337</v>
      </c>
      <c r="T190" s="16">
        <f>S190*1.33</f>
        <v>738.59333333333348</v>
      </c>
      <c r="AH190" s="9"/>
    </row>
    <row r="191" spans="1:37" x14ac:dyDescent="0.2">
      <c r="A191">
        <v>-308</v>
      </c>
      <c r="B191" s="10" t="s">
        <v>285</v>
      </c>
      <c r="C191" s="11" t="s">
        <v>42</v>
      </c>
      <c r="D191" s="15" t="s">
        <v>452</v>
      </c>
      <c r="E191" s="13">
        <v>16</v>
      </c>
      <c r="F191" s="13">
        <v>8</v>
      </c>
      <c r="G191" s="13">
        <f t="shared" si="4"/>
        <v>212</v>
      </c>
      <c r="H191" s="13">
        <v>309</v>
      </c>
      <c r="I191" s="14">
        <f t="shared" si="5"/>
        <v>-308.37534246575342</v>
      </c>
      <c r="J191" s="15" t="s">
        <v>453</v>
      </c>
      <c r="P191">
        <v>13</v>
      </c>
      <c r="Q191" s="17">
        <v>13</v>
      </c>
      <c r="R191" s="16">
        <f>1000/Q191</f>
        <v>76.92307692307692</v>
      </c>
      <c r="S191" s="16">
        <f>8.33*R191</f>
        <v>640.76923076923072</v>
      </c>
      <c r="T191" s="16">
        <f>S191*1.33</f>
        <v>852.22307692307686</v>
      </c>
      <c r="AG191" t="s">
        <v>133</v>
      </c>
      <c r="AH191" s="17" t="s">
        <v>133</v>
      </c>
    </row>
    <row r="192" spans="1:37" x14ac:dyDescent="0.2">
      <c r="A192">
        <v>-308</v>
      </c>
      <c r="B192" s="10" t="s">
        <v>285</v>
      </c>
      <c r="C192" s="11" t="s">
        <v>45</v>
      </c>
      <c r="D192" s="15" t="s">
        <v>454</v>
      </c>
      <c r="E192" s="13">
        <v>26</v>
      </c>
      <c r="F192" s="13">
        <v>8</v>
      </c>
      <c r="G192" s="13">
        <f t="shared" si="4"/>
        <v>212</v>
      </c>
      <c r="H192" s="13">
        <v>309</v>
      </c>
      <c r="I192" s="14">
        <f t="shared" si="5"/>
        <v>-308.34794520547945</v>
      </c>
      <c r="J192" s="15" t="s">
        <v>449</v>
      </c>
      <c r="K192" s="10">
        <v>9</v>
      </c>
      <c r="L192" s="16">
        <v>9</v>
      </c>
      <c r="M192" s="16">
        <f>1000/L192</f>
        <v>111.11111111111111</v>
      </c>
      <c r="N192" s="16">
        <f>8.33*M192</f>
        <v>925.55555555555554</v>
      </c>
      <c r="O192" s="16">
        <f>1.613*N192</f>
        <v>1492.921111111111</v>
      </c>
    </row>
    <row r="193" spans="1:37" x14ac:dyDescent="0.2">
      <c r="A193">
        <v>-308</v>
      </c>
      <c r="B193" s="10" t="s">
        <v>137</v>
      </c>
      <c r="C193" s="11" t="s">
        <v>39</v>
      </c>
      <c r="D193" s="15" t="s">
        <v>455</v>
      </c>
      <c r="E193" s="13">
        <v>4</v>
      </c>
      <c r="F193" s="13">
        <v>9</v>
      </c>
      <c r="G193" s="13">
        <f t="shared" si="4"/>
        <v>243</v>
      </c>
      <c r="H193" s="13">
        <v>309</v>
      </c>
      <c r="I193" s="14">
        <f t="shared" si="5"/>
        <v>-308.32328767123289</v>
      </c>
      <c r="J193" s="15" t="s">
        <v>456</v>
      </c>
      <c r="P193">
        <v>17</v>
      </c>
      <c r="Q193" s="17">
        <v>17</v>
      </c>
      <c r="R193" s="16">
        <f>1000/Q193</f>
        <v>58.823529411764703</v>
      </c>
      <c r="S193" s="16">
        <f>8.33*R193</f>
        <v>490</v>
      </c>
      <c r="T193" s="16">
        <f>S193*1.33</f>
        <v>651.70000000000005</v>
      </c>
      <c r="U193" t="s">
        <v>41</v>
      </c>
    </row>
    <row r="194" spans="1:37" x14ac:dyDescent="0.2">
      <c r="A194">
        <v>-308</v>
      </c>
      <c r="B194" s="10" t="s">
        <v>457</v>
      </c>
      <c r="C194" s="11" t="s">
        <v>42</v>
      </c>
      <c r="D194" s="15" t="s">
        <v>458</v>
      </c>
      <c r="E194" s="13">
        <v>14</v>
      </c>
      <c r="F194" s="13">
        <v>9</v>
      </c>
      <c r="G194" s="13">
        <f t="shared" ref="G194:G257" si="9">INDEX(A$1502:A$1513,F194)</f>
        <v>243</v>
      </c>
      <c r="H194" s="13">
        <v>309</v>
      </c>
      <c r="I194" s="14">
        <f t="shared" si="5"/>
        <v>-308.29589041095892</v>
      </c>
      <c r="J194" s="15" t="s">
        <v>459</v>
      </c>
      <c r="K194" s="10">
        <v>9</v>
      </c>
      <c r="L194" s="16">
        <v>9</v>
      </c>
      <c r="M194" s="16">
        <f>1000/L194</f>
        <v>111.11111111111111</v>
      </c>
      <c r="N194" s="16">
        <f>8.33*M194</f>
        <v>925.55555555555554</v>
      </c>
      <c r="O194" s="16">
        <f>1.613*N194</f>
        <v>1492.921111111111</v>
      </c>
      <c r="P194">
        <v>13</v>
      </c>
      <c r="Q194" s="17">
        <v>13</v>
      </c>
      <c r="R194" s="16">
        <f>1000/Q194</f>
        <v>76.92307692307692</v>
      </c>
      <c r="S194" s="16">
        <f>8.33*R194</f>
        <v>640.76923076923072</v>
      </c>
      <c r="T194" s="16">
        <f>S194*1.33</f>
        <v>852.22307692307686</v>
      </c>
    </row>
    <row r="195" spans="1:37" x14ac:dyDescent="0.2">
      <c r="A195">
        <v>-308</v>
      </c>
      <c r="B195" s="10" t="s">
        <v>457</v>
      </c>
      <c r="C195" s="11" t="s">
        <v>45</v>
      </c>
      <c r="D195" s="15" t="s">
        <v>460</v>
      </c>
      <c r="E195" s="13">
        <v>24</v>
      </c>
      <c r="F195" s="13">
        <v>9</v>
      </c>
      <c r="G195" s="13">
        <f t="shared" si="9"/>
        <v>243</v>
      </c>
      <c r="H195" s="13">
        <v>309</v>
      </c>
      <c r="I195" s="14">
        <f t="shared" ref="I195:I258" si="10">($E195+$G195)/365-$H195</f>
        <v>-308.26849315068495</v>
      </c>
      <c r="J195" s="15" t="s">
        <v>461</v>
      </c>
      <c r="K195" s="10">
        <v>14</v>
      </c>
      <c r="L195" s="16">
        <v>14</v>
      </c>
      <c r="M195" s="16">
        <f>1000/L195</f>
        <v>71.428571428571431</v>
      </c>
      <c r="N195" s="16">
        <f>8.33*M195</f>
        <v>595</v>
      </c>
      <c r="O195" s="16">
        <f>1.613*N195</f>
        <v>959.73500000000001</v>
      </c>
      <c r="P195">
        <v>17</v>
      </c>
      <c r="Q195" s="17">
        <v>17</v>
      </c>
      <c r="R195" s="16">
        <f>1000/Q195</f>
        <v>58.823529411764703</v>
      </c>
      <c r="S195" s="16">
        <f>8.33*R195</f>
        <v>490</v>
      </c>
      <c r="T195" s="16">
        <f>S195*1.33</f>
        <v>651.70000000000005</v>
      </c>
    </row>
    <row r="196" spans="1:37" x14ac:dyDescent="0.2">
      <c r="A196">
        <v>-307</v>
      </c>
      <c r="B196" s="10" t="s">
        <v>285</v>
      </c>
      <c r="C196" s="11" t="s">
        <v>462</v>
      </c>
      <c r="D196" s="15" t="s">
        <v>463</v>
      </c>
      <c r="E196" s="13">
        <v>26</v>
      </c>
      <c r="F196" s="13">
        <v>7</v>
      </c>
      <c r="G196" s="13">
        <f t="shared" si="9"/>
        <v>181</v>
      </c>
      <c r="H196" s="13">
        <v>308</v>
      </c>
      <c r="I196" s="14">
        <f t="shared" si="10"/>
        <v>-307.43287671232878</v>
      </c>
      <c r="J196" s="15" t="s">
        <v>464</v>
      </c>
      <c r="K196" s="10">
        <v>14.5</v>
      </c>
      <c r="L196" s="16">
        <v>14.5</v>
      </c>
      <c r="M196" s="16">
        <f>1000/L196</f>
        <v>68.965517241379317</v>
      </c>
      <c r="N196" s="16">
        <f>8.33*M196</f>
        <v>574.48275862068976</v>
      </c>
      <c r="O196" s="16">
        <f>1.613*N196</f>
        <v>926.64068965517254</v>
      </c>
    </row>
    <row r="197" spans="1:37" x14ac:dyDescent="0.2">
      <c r="A197">
        <v>-307</v>
      </c>
      <c r="B197" s="10" t="s">
        <v>362</v>
      </c>
      <c r="C197" s="11" t="s">
        <v>465</v>
      </c>
      <c r="D197" s="7" t="s">
        <v>466</v>
      </c>
      <c r="E197" s="13">
        <v>13</v>
      </c>
      <c r="F197" s="13">
        <v>8</v>
      </c>
      <c r="G197" s="13">
        <f t="shared" si="9"/>
        <v>212</v>
      </c>
      <c r="H197" s="13">
        <v>308</v>
      </c>
      <c r="I197" s="14">
        <f t="shared" si="10"/>
        <v>-307.38356164383561</v>
      </c>
      <c r="J197" s="7" t="s">
        <v>467</v>
      </c>
      <c r="K197" s="10" t="s">
        <v>468</v>
      </c>
      <c r="L197" s="16">
        <v>13</v>
      </c>
      <c r="M197" s="16">
        <f>1000/L197</f>
        <v>76.92307692307692</v>
      </c>
      <c r="N197" s="16">
        <f>8.33*M197</f>
        <v>640.76923076923072</v>
      </c>
      <c r="O197" s="16">
        <f>1.613*N197</f>
        <v>1033.5607692307692</v>
      </c>
    </row>
    <row r="198" spans="1:37" x14ac:dyDescent="0.2">
      <c r="A198">
        <v>-307</v>
      </c>
      <c r="B198" s="10" t="s">
        <v>285</v>
      </c>
      <c r="C198" s="11" t="s">
        <v>45</v>
      </c>
      <c r="D198" s="26" t="s">
        <v>469</v>
      </c>
      <c r="E198" s="13">
        <v>15</v>
      </c>
      <c r="F198" s="13">
        <v>8</v>
      </c>
      <c r="G198" s="13">
        <f t="shared" si="9"/>
        <v>212</v>
      </c>
      <c r="H198" s="13">
        <v>308</v>
      </c>
      <c r="I198" s="14">
        <f t="shared" si="10"/>
        <v>-307.37808219178083</v>
      </c>
      <c r="J198" s="26" t="s">
        <v>470</v>
      </c>
    </row>
    <row r="199" spans="1:37" x14ac:dyDescent="0.2">
      <c r="A199">
        <v>-300</v>
      </c>
      <c r="B199" s="10" t="s">
        <v>91</v>
      </c>
      <c r="D199" s="15" t="s">
        <v>471</v>
      </c>
      <c r="E199" s="13">
        <v>5</v>
      </c>
      <c r="F199" s="13">
        <v>10</v>
      </c>
      <c r="G199" s="13">
        <f t="shared" si="9"/>
        <v>273</v>
      </c>
      <c r="H199" s="13">
        <v>301</v>
      </c>
      <c r="I199" s="14">
        <f t="shared" si="10"/>
        <v>-300.23835616438356</v>
      </c>
      <c r="J199" s="15" t="s">
        <v>472</v>
      </c>
      <c r="K199" s="10" t="s">
        <v>133</v>
      </c>
      <c r="L199" s="16" t="s">
        <v>133</v>
      </c>
      <c r="P199" s="1">
        <v>60</v>
      </c>
      <c r="Q199" s="9">
        <v>60</v>
      </c>
      <c r="R199" s="8">
        <f>1000/Q199</f>
        <v>16.666666666666668</v>
      </c>
      <c r="S199" s="8">
        <f>8.33*R199</f>
        <v>138.83333333333334</v>
      </c>
      <c r="T199" s="8">
        <f>S199*1.33</f>
        <v>184.64833333333337</v>
      </c>
      <c r="U199" s="1">
        <v>48</v>
      </c>
      <c r="V199" s="9">
        <v>48</v>
      </c>
      <c r="W199" s="8">
        <f>1000/V199</f>
        <v>20.833333333333332</v>
      </c>
      <c r="X199" s="8">
        <f>8.33*W199</f>
        <v>173.54166666666666</v>
      </c>
      <c r="Y199" s="1">
        <v>15</v>
      </c>
      <c r="Z199" s="9">
        <v>15</v>
      </c>
      <c r="AA199" s="8">
        <f>1000/Z199</f>
        <v>66.666666666666671</v>
      </c>
      <c r="AB199" s="8">
        <f>8.33*AA199</f>
        <v>555.33333333333337</v>
      </c>
      <c r="AC199" s="1">
        <v>12</v>
      </c>
      <c r="AD199" s="9">
        <v>12</v>
      </c>
      <c r="AE199" s="8">
        <f>1000/AD199</f>
        <v>83.333333333333329</v>
      </c>
      <c r="AF199" s="8">
        <f>8.33*AE199</f>
        <v>694.16666666666663</v>
      </c>
      <c r="AG199" s="1">
        <v>1.5</v>
      </c>
      <c r="AH199" s="9">
        <v>1.5</v>
      </c>
      <c r="AI199" s="8">
        <f>1/AH199</f>
        <v>0.66666666666666663</v>
      </c>
      <c r="AJ199" s="8">
        <f>8.33*AI199</f>
        <v>5.5533333333333328</v>
      </c>
    </row>
    <row r="200" spans="1:37" x14ac:dyDescent="0.2">
      <c r="A200">
        <v>-300</v>
      </c>
      <c r="B200" s="10" t="s">
        <v>94</v>
      </c>
      <c r="D200" s="15" t="s">
        <v>473</v>
      </c>
      <c r="E200" s="13">
        <v>4</v>
      </c>
      <c r="F200" s="13">
        <v>11</v>
      </c>
      <c r="G200" s="13">
        <f t="shared" si="9"/>
        <v>304</v>
      </c>
      <c r="H200" s="13">
        <v>301</v>
      </c>
      <c r="I200" s="14">
        <f t="shared" si="10"/>
        <v>-300.15616438356165</v>
      </c>
      <c r="J200" s="15" t="s">
        <v>474</v>
      </c>
      <c r="T200" s="8"/>
      <c r="V200" s="9"/>
      <c r="W200" s="8"/>
      <c r="X200" s="8"/>
      <c r="Y200" s="1"/>
      <c r="Z200" s="9"/>
      <c r="AA200" s="8"/>
      <c r="AB200" s="8"/>
      <c r="AC200" s="1"/>
      <c r="AD200" s="9"/>
      <c r="AE200" s="8"/>
      <c r="AF200" s="8"/>
      <c r="AG200" s="1" t="s">
        <v>82</v>
      </c>
      <c r="AH200" s="9"/>
    </row>
    <row r="201" spans="1:37" x14ac:dyDescent="0.2">
      <c r="A201">
        <v>-300</v>
      </c>
      <c r="B201" s="10" t="s">
        <v>83</v>
      </c>
      <c r="D201" s="15" t="s">
        <v>475</v>
      </c>
      <c r="E201" s="13">
        <v>1</v>
      </c>
      <c r="F201" s="13">
        <v>2</v>
      </c>
      <c r="G201" s="13">
        <f t="shared" si="9"/>
        <v>31</v>
      </c>
      <c r="H201" s="13">
        <v>300</v>
      </c>
      <c r="I201" s="14">
        <f t="shared" si="10"/>
        <v>-299.91232876712331</v>
      </c>
      <c r="J201" s="15" t="s">
        <v>476</v>
      </c>
      <c r="T201" s="8"/>
      <c r="V201" s="9"/>
      <c r="W201" s="8"/>
      <c r="X201" s="8"/>
      <c r="Y201" s="1"/>
      <c r="Z201" s="9"/>
      <c r="AA201" s="8"/>
      <c r="AB201" s="8"/>
      <c r="AC201" s="1">
        <v>18</v>
      </c>
      <c r="AD201" s="9">
        <v>18</v>
      </c>
      <c r="AE201" s="8">
        <f>1000/AD201</f>
        <v>55.555555555555557</v>
      </c>
      <c r="AF201" s="8">
        <f>8.33*AE201</f>
        <v>462.77777777777777</v>
      </c>
      <c r="AG201" s="1">
        <v>2.33</v>
      </c>
      <c r="AH201" s="9">
        <v>2.33</v>
      </c>
      <c r="AI201" s="8">
        <f>1/AH201</f>
        <v>0.42918454935622319</v>
      </c>
      <c r="AJ201" s="8">
        <f>8.33*AI201</f>
        <v>3.5751072961373391</v>
      </c>
    </row>
    <row r="202" spans="1:37" x14ac:dyDescent="0.2">
      <c r="A202">
        <v>-300</v>
      </c>
      <c r="B202" s="10" t="s">
        <v>83</v>
      </c>
      <c r="C202" s="11" t="s">
        <v>39</v>
      </c>
      <c r="D202" s="15" t="s">
        <v>475</v>
      </c>
      <c r="E202" s="13">
        <v>1</v>
      </c>
      <c r="F202" s="13">
        <v>2</v>
      </c>
      <c r="G202" s="13">
        <f t="shared" si="9"/>
        <v>31</v>
      </c>
      <c r="H202" s="13">
        <v>300</v>
      </c>
      <c r="I202" s="14">
        <f t="shared" si="10"/>
        <v>-299.91232876712331</v>
      </c>
      <c r="J202" s="15" t="s">
        <v>477</v>
      </c>
      <c r="K202" s="10">
        <v>56</v>
      </c>
      <c r="L202" s="16">
        <v>56</v>
      </c>
      <c r="M202" s="16">
        <f>1000/L202</f>
        <v>17.857142857142858</v>
      </c>
      <c r="N202" s="16">
        <f>8.33*M202</f>
        <v>148.75</v>
      </c>
      <c r="O202" s="16">
        <f>1.613*N202</f>
        <v>239.93375</v>
      </c>
      <c r="T202" s="8"/>
    </row>
    <row r="203" spans="1:37" x14ac:dyDescent="0.2">
      <c r="A203">
        <v>-300</v>
      </c>
      <c r="B203" s="10" t="s">
        <v>83</v>
      </c>
      <c r="C203" s="11" t="s">
        <v>42</v>
      </c>
      <c r="D203" s="15" t="s">
        <v>478</v>
      </c>
      <c r="E203" s="13">
        <v>11</v>
      </c>
      <c r="F203" s="13">
        <v>2</v>
      </c>
      <c r="G203" s="13">
        <f t="shared" si="9"/>
        <v>31</v>
      </c>
      <c r="H203" s="13">
        <v>300</v>
      </c>
      <c r="I203" s="14">
        <f t="shared" si="10"/>
        <v>-299.88493150684934</v>
      </c>
      <c r="J203" s="15" t="s">
        <v>479</v>
      </c>
      <c r="K203" s="10" t="s">
        <v>41</v>
      </c>
      <c r="T203" s="8"/>
      <c r="AG203" t="s">
        <v>133</v>
      </c>
      <c r="AH203" s="17" t="s">
        <v>133</v>
      </c>
    </row>
    <row r="204" spans="1:37" x14ac:dyDescent="0.2">
      <c r="A204">
        <v>-300</v>
      </c>
      <c r="B204" s="10" t="s">
        <v>83</v>
      </c>
      <c r="C204" s="11" t="s">
        <v>45</v>
      </c>
      <c r="D204" s="15" t="s">
        <v>480</v>
      </c>
      <c r="E204" s="13">
        <v>21</v>
      </c>
      <c r="F204" s="13">
        <v>2</v>
      </c>
      <c r="G204" s="13">
        <f t="shared" si="9"/>
        <v>31</v>
      </c>
      <c r="H204" s="13">
        <v>300</v>
      </c>
      <c r="I204" s="14">
        <f t="shared" si="10"/>
        <v>-299.85753424657537</v>
      </c>
      <c r="J204" s="15" t="s">
        <v>476</v>
      </c>
      <c r="T204" s="8"/>
      <c r="AG204" t="s">
        <v>133</v>
      </c>
      <c r="AH204" s="17" t="s">
        <v>133</v>
      </c>
    </row>
    <row r="205" spans="1:37" x14ac:dyDescent="0.2">
      <c r="A205">
        <v>-294</v>
      </c>
      <c r="B205" s="10" t="s">
        <v>60</v>
      </c>
      <c r="C205" s="11" t="s">
        <v>39</v>
      </c>
      <c r="D205" s="15" t="s">
        <v>481</v>
      </c>
      <c r="E205" s="13">
        <v>5</v>
      </c>
      <c r="F205" s="13">
        <v>4</v>
      </c>
      <c r="G205" s="13">
        <f t="shared" si="9"/>
        <v>90</v>
      </c>
      <c r="H205" s="13">
        <v>295</v>
      </c>
      <c r="I205" s="14">
        <f t="shared" si="10"/>
        <v>-294.73972602739724</v>
      </c>
      <c r="J205" s="15" t="s">
        <v>482</v>
      </c>
      <c r="P205" t="s">
        <v>311</v>
      </c>
      <c r="Q205" s="20">
        <v>72</v>
      </c>
      <c r="R205" s="19">
        <f>1000/Q205</f>
        <v>13.888888888888889</v>
      </c>
      <c r="S205" s="19">
        <f>8.33*R205</f>
        <v>115.69444444444444</v>
      </c>
      <c r="T205" s="16">
        <f>S205*1.33</f>
        <v>153.87361111111113</v>
      </c>
      <c r="AK205" t="s">
        <v>483</v>
      </c>
    </row>
    <row r="206" spans="1:37" x14ac:dyDescent="0.2">
      <c r="A206">
        <v>-294</v>
      </c>
      <c r="B206" s="10" t="s">
        <v>60</v>
      </c>
      <c r="C206" s="11" t="s">
        <v>42</v>
      </c>
      <c r="D206" s="15" t="s">
        <v>484</v>
      </c>
      <c r="E206" s="13">
        <v>15</v>
      </c>
      <c r="F206" s="13">
        <v>4</v>
      </c>
      <c r="G206" s="13">
        <f t="shared" si="9"/>
        <v>90</v>
      </c>
      <c r="H206" s="13">
        <v>295</v>
      </c>
      <c r="I206" s="14">
        <f t="shared" si="10"/>
        <v>-294.71232876712327</v>
      </c>
      <c r="J206" s="15" t="s">
        <v>485</v>
      </c>
      <c r="T206" s="8"/>
    </row>
    <row r="207" spans="1:37" x14ac:dyDescent="0.2">
      <c r="A207">
        <v>-294</v>
      </c>
      <c r="B207" s="10" t="s">
        <v>60</v>
      </c>
      <c r="C207" s="11" t="s">
        <v>45</v>
      </c>
      <c r="D207" s="15" t="s">
        <v>486</v>
      </c>
      <c r="E207" s="13">
        <v>25</v>
      </c>
      <c r="F207" s="13">
        <v>4</v>
      </c>
      <c r="G207" s="13">
        <f t="shared" si="9"/>
        <v>90</v>
      </c>
      <c r="H207" s="13">
        <v>295</v>
      </c>
      <c r="I207" s="14">
        <f t="shared" si="10"/>
        <v>-294.6849315068493</v>
      </c>
      <c r="J207" s="15" t="s">
        <v>487</v>
      </c>
      <c r="K207" s="10">
        <v>150</v>
      </c>
      <c r="L207" s="16">
        <v>150</v>
      </c>
      <c r="M207" s="16">
        <f>1000/L207</f>
        <v>6.666666666666667</v>
      </c>
      <c r="N207" s="16">
        <f>8.33*M207</f>
        <v>55.533333333333339</v>
      </c>
      <c r="O207" s="16">
        <f>1.613*N207</f>
        <v>89.575266666666678</v>
      </c>
      <c r="T207" s="8"/>
    </row>
    <row r="208" spans="1:37" x14ac:dyDescent="0.2">
      <c r="A208">
        <v>-293</v>
      </c>
      <c r="B208" s="10" t="s">
        <v>47</v>
      </c>
      <c r="C208" s="11" t="s">
        <v>39</v>
      </c>
      <c r="D208" s="15" t="s">
        <v>488</v>
      </c>
      <c r="E208" s="13">
        <v>24</v>
      </c>
      <c r="F208" s="13">
        <v>4</v>
      </c>
      <c r="G208" s="13">
        <f t="shared" si="9"/>
        <v>90</v>
      </c>
      <c r="H208" s="13">
        <v>294</v>
      </c>
      <c r="I208" s="14">
        <f t="shared" si="10"/>
        <v>-293.68767123287671</v>
      </c>
      <c r="J208" s="15" t="s">
        <v>489</v>
      </c>
      <c r="K208" s="10">
        <v>210</v>
      </c>
      <c r="L208" s="16">
        <v>210</v>
      </c>
      <c r="M208" s="16">
        <f>1000/L208</f>
        <v>4.7619047619047619</v>
      </c>
      <c r="N208" s="16">
        <f>8.33*M208</f>
        <v>39.666666666666664</v>
      </c>
      <c r="O208" s="16">
        <f>1.613*N208</f>
        <v>63.98233333333333</v>
      </c>
      <c r="T208" s="8"/>
      <c r="AC208" t="s">
        <v>490</v>
      </c>
      <c r="AD208" s="17">
        <v>8</v>
      </c>
      <c r="AE208" s="16">
        <f>1000/AD208</f>
        <v>125</v>
      </c>
      <c r="AF208" s="16">
        <f>8.33*AE208</f>
        <v>1041.25</v>
      </c>
      <c r="AG208" t="s">
        <v>41</v>
      </c>
    </row>
    <row r="209" spans="1:36" x14ac:dyDescent="0.2">
      <c r="A209">
        <v>-293</v>
      </c>
      <c r="B209" s="10" t="s">
        <v>47</v>
      </c>
      <c r="C209" s="11" t="s">
        <v>42</v>
      </c>
      <c r="D209" s="15" t="s">
        <v>491</v>
      </c>
      <c r="E209" s="13">
        <v>4</v>
      </c>
      <c r="F209" s="13">
        <v>5</v>
      </c>
      <c r="G209" s="13">
        <f t="shared" si="9"/>
        <v>120</v>
      </c>
      <c r="H209" s="13">
        <v>294</v>
      </c>
      <c r="I209" s="14">
        <f t="shared" si="10"/>
        <v>-293.66027397260274</v>
      </c>
      <c r="J209" s="15" t="s">
        <v>492</v>
      </c>
      <c r="L209" s="19">
        <v>210</v>
      </c>
      <c r="M209" s="19">
        <v>4.76</v>
      </c>
      <c r="N209" s="19">
        <v>39.67</v>
      </c>
      <c r="O209" s="19">
        <v>63.98</v>
      </c>
      <c r="T209" s="8"/>
    </row>
    <row r="210" spans="1:36" x14ac:dyDescent="0.2">
      <c r="A210">
        <v>-293</v>
      </c>
      <c r="B210" s="10" t="s">
        <v>47</v>
      </c>
      <c r="C210" s="11" t="s">
        <v>45</v>
      </c>
      <c r="D210" s="15" t="s">
        <v>493</v>
      </c>
      <c r="E210" s="13">
        <v>14</v>
      </c>
      <c r="F210" s="13">
        <v>5</v>
      </c>
      <c r="G210" s="13">
        <f t="shared" si="9"/>
        <v>120</v>
      </c>
      <c r="H210" s="13">
        <v>294</v>
      </c>
      <c r="I210" s="14">
        <f t="shared" si="10"/>
        <v>-293.63287671232877</v>
      </c>
      <c r="J210" s="15" t="s">
        <v>494</v>
      </c>
      <c r="K210" s="10" t="s">
        <v>41</v>
      </c>
      <c r="T210" s="8"/>
      <c r="AC210" t="s">
        <v>133</v>
      </c>
      <c r="AD210" s="17" t="s">
        <v>133</v>
      </c>
    </row>
    <row r="211" spans="1:36" x14ac:dyDescent="0.2">
      <c r="A211">
        <v>-293</v>
      </c>
      <c r="B211" s="10" t="s">
        <v>285</v>
      </c>
      <c r="D211" s="15" t="s">
        <v>495</v>
      </c>
      <c r="E211" s="13">
        <v>22</v>
      </c>
      <c r="F211" s="13">
        <v>7</v>
      </c>
      <c r="G211" s="13">
        <f t="shared" si="9"/>
        <v>181</v>
      </c>
      <c r="H211" s="13">
        <v>294</v>
      </c>
      <c r="I211" s="14">
        <f t="shared" si="10"/>
        <v>-293.44383561643838</v>
      </c>
      <c r="J211" s="15" t="s">
        <v>496</v>
      </c>
      <c r="T211" s="8"/>
      <c r="AG211" s="1">
        <v>1.5</v>
      </c>
      <c r="AH211" s="9">
        <v>1.5</v>
      </c>
      <c r="AI211" s="8">
        <f>1/AH211</f>
        <v>0.66666666666666663</v>
      </c>
      <c r="AJ211" s="8">
        <f>8.33*AI211</f>
        <v>5.5533333333333328</v>
      </c>
    </row>
    <row r="212" spans="1:36" x14ac:dyDescent="0.2">
      <c r="A212">
        <v>-293</v>
      </c>
      <c r="B212" s="10" t="s">
        <v>285</v>
      </c>
      <c r="C212" s="11" t="s">
        <v>39</v>
      </c>
      <c r="D212" s="15" t="s">
        <v>495</v>
      </c>
      <c r="E212" s="13">
        <v>22</v>
      </c>
      <c r="F212" s="13">
        <v>7</v>
      </c>
      <c r="G212" s="13">
        <f t="shared" si="9"/>
        <v>181</v>
      </c>
      <c r="H212" s="13">
        <v>294</v>
      </c>
      <c r="I212" s="14">
        <f t="shared" si="10"/>
        <v>-293.44383561643838</v>
      </c>
      <c r="J212" s="15" t="s">
        <v>497</v>
      </c>
      <c r="K212" s="10">
        <v>216</v>
      </c>
      <c r="L212" s="16">
        <v>216</v>
      </c>
      <c r="M212" s="16">
        <f>1000/L212</f>
        <v>4.6296296296296298</v>
      </c>
      <c r="N212" s="16">
        <f>8.33*M212</f>
        <v>38.564814814814817</v>
      </c>
      <c r="O212" s="16">
        <f>1.613*N212</f>
        <v>62.205046296296295</v>
      </c>
      <c r="T212" s="8"/>
    </row>
    <row r="213" spans="1:36" x14ac:dyDescent="0.2">
      <c r="A213">
        <v>-293</v>
      </c>
      <c r="B213" s="10" t="s">
        <v>285</v>
      </c>
      <c r="C213" s="11" t="s">
        <v>42</v>
      </c>
      <c r="D213" s="15" t="s">
        <v>498</v>
      </c>
      <c r="E213" s="13">
        <v>1</v>
      </c>
      <c r="F213" s="13">
        <v>8</v>
      </c>
      <c r="G213" s="13">
        <f t="shared" si="9"/>
        <v>212</v>
      </c>
      <c r="H213" s="13">
        <v>294</v>
      </c>
      <c r="I213" s="14">
        <f t="shared" si="10"/>
        <v>-293.41643835616441</v>
      </c>
      <c r="J213" s="15" t="s">
        <v>499</v>
      </c>
      <c r="L213" s="19">
        <v>216</v>
      </c>
      <c r="M213" s="19">
        <f>1000/L213</f>
        <v>4.6296296296296298</v>
      </c>
      <c r="N213" s="19">
        <f>8.33*M213</f>
        <v>38.564814814814817</v>
      </c>
      <c r="O213" s="19">
        <f>1.613*N213</f>
        <v>62.205046296296295</v>
      </c>
      <c r="T213" s="8"/>
    </row>
    <row r="214" spans="1:36" x14ac:dyDescent="0.2">
      <c r="A214">
        <v>-293</v>
      </c>
      <c r="B214" s="10" t="s">
        <v>285</v>
      </c>
      <c r="C214" s="11" t="s">
        <v>45</v>
      </c>
      <c r="D214" s="15" t="s">
        <v>500</v>
      </c>
      <c r="E214" s="13">
        <v>11</v>
      </c>
      <c r="F214" s="13">
        <v>8</v>
      </c>
      <c r="G214" s="13">
        <f t="shared" si="9"/>
        <v>212</v>
      </c>
      <c r="H214" s="13">
        <v>294</v>
      </c>
      <c r="I214" s="14">
        <f t="shared" si="10"/>
        <v>-293.38904109589043</v>
      </c>
      <c r="J214" s="15" t="s">
        <v>496</v>
      </c>
      <c r="K214" s="10" t="s">
        <v>501</v>
      </c>
      <c r="L214" s="19">
        <v>202</v>
      </c>
      <c r="M214" s="19">
        <f>1000/L214</f>
        <v>4.9504950495049505</v>
      </c>
      <c r="N214" s="19">
        <f>8.33*M214</f>
        <v>41.237623762376238</v>
      </c>
      <c r="O214" s="19">
        <f>1.613*N214</f>
        <v>66.516287128712875</v>
      </c>
      <c r="T214" s="8"/>
    </row>
    <row r="215" spans="1:36" x14ac:dyDescent="0.2">
      <c r="A215">
        <v>-291</v>
      </c>
      <c r="B215" s="10" t="s">
        <v>60</v>
      </c>
      <c r="D215" s="15" t="s">
        <v>502</v>
      </c>
      <c r="E215" s="13">
        <v>3</v>
      </c>
      <c r="F215" s="13">
        <v>4</v>
      </c>
      <c r="G215" s="13">
        <f t="shared" si="9"/>
        <v>90</v>
      </c>
      <c r="H215" s="13">
        <v>292</v>
      </c>
      <c r="I215" s="14">
        <f t="shared" si="10"/>
        <v>-291.74520547945207</v>
      </c>
      <c r="J215" s="15" t="s">
        <v>503</v>
      </c>
      <c r="T215" s="8"/>
      <c r="V215" s="9"/>
      <c r="W215" s="8"/>
      <c r="X215" s="8"/>
      <c r="Y215" s="1">
        <v>30</v>
      </c>
      <c r="Z215" s="9">
        <v>30</v>
      </c>
      <c r="AA215" s="8">
        <f>1000/Z215</f>
        <v>33.333333333333336</v>
      </c>
      <c r="AB215" s="8">
        <f>8.33*AA215</f>
        <v>277.66666666666669</v>
      </c>
      <c r="AC215" s="1">
        <v>42</v>
      </c>
      <c r="AD215" s="9">
        <v>42</v>
      </c>
      <c r="AE215" s="8">
        <f>1000/AD215</f>
        <v>23.80952380952381</v>
      </c>
      <c r="AF215" s="8">
        <f>8.33*AE215</f>
        <v>198.33333333333334</v>
      </c>
      <c r="AG215" s="1">
        <v>1.5</v>
      </c>
      <c r="AH215" s="9">
        <v>1.5</v>
      </c>
      <c r="AI215" s="8">
        <f>1/AH215</f>
        <v>0.66666666666666663</v>
      </c>
      <c r="AJ215" s="8">
        <f>8.33*AI215</f>
        <v>5.5533333333333328</v>
      </c>
    </row>
    <row r="216" spans="1:36" x14ac:dyDescent="0.2">
      <c r="A216">
        <v>-291</v>
      </c>
      <c r="B216" s="10" t="s">
        <v>47</v>
      </c>
      <c r="D216" s="15" t="s">
        <v>504</v>
      </c>
      <c r="E216" s="13">
        <v>2</v>
      </c>
      <c r="F216" s="13">
        <v>5</v>
      </c>
      <c r="G216" s="13">
        <f t="shared" si="9"/>
        <v>120</v>
      </c>
      <c r="H216" s="13">
        <v>292</v>
      </c>
      <c r="I216" s="14">
        <f t="shared" si="10"/>
        <v>-291.66575342465751</v>
      </c>
      <c r="J216" s="15" t="s">
        <v>505</v>
      </c>
      <c r="T216" s="8"/>
      <c r="U216" s="1">
        <v>240</v>
      </c>
      <c r="V216" s="9">
        <v>240</v>
      </c>
      <c r="W216" s="8">
        <f>1000/V216</f>
        <v>4.166666666666667</v>
      </c>
      <c r="X216" s="8">
        <f>8.33*W216</f>
        <v>34.708333333333336</v>
      </c>
      <c r="Y216" s="1"/>
      <c r="Z216" s="9"/>
      <c r="AA216" s="8"/>
      <c r="AB216" s="8"/>
      <c r="AC216" s="1"/>
      <c r="AD216" s="9"/>
      <c r="AE216" s="8"/>
      <c r="AF216" s="8"/>
      <c r="AG216" s="1"/>
      <c r="AH216" s="9"/>
    </row>
    <row r="217" spans="1:36" x14ac:dyDescent="0.2">
      <c r="A217">
        <v>-291</v>
      </c>
      <c r="B217" s="10" t="s">
        <v>506</v>
      </c>
      <c r="C217" s="11" t="s">
        <v>39</v>
      </c>
      <c r="D217" s="15" t="s">
        <v>504</v>
      </c>
      <c r="E217" s="13">
        <v>2</v>
      </c>
      <c r="F217" s="13">
        <v>5</v>
      </c>
      <c r="G217" s="13">
        <f t="shared" si="9"/>
        <v>120</v>
      </c>
      <c r="H217" s="13">
        <v>292</v>
      </c>
      <c r="I217" s="14">
        <f t="shared" si="10"/>
        <v>-291.66575342465751</v>
      </c>
      <c r="J217" s="15" t="s">
        <v>507</v>
      </c>
      <c r="T217" s="8"/>
      <c r="V217" s="9"/>
      <c r="W217" s="8"/>
      <c r="X217" s="8"/>
      <c r="Y217" s="1" t="s">
        <v>41</v>
      </c>
      <c r="Z217" s="9"/>
      <c r="AA217" s="8"/>
      <c r="AB217" s="8"/>
      <c r="AC217" s="1"/>
      <c r="AD217" s="9"/>
      <c r="AE217" s="8"/>
      <c r="AF217" s="8"/>
    </row>
    <row r="218" spans="1:36" x14ac:dyDescent="0.2">
      <c r="A218">
        <v>-291</v>
      </c>
      <c r="B218" s="10" t="s">
        <v>506</v>
      </c>
      <c r="C218" s="11" t="s">
        <v>42</v>
      </c>
      <c r="D218" s="15" t="s">
        <v>508</v>
      </c>
      <c r="E218" s="13">
        <v>12</v>
      </c>
      <c r="F218" s="13">
        <v>5</v>
      </c>
      <c r="G218" s="13">
        <f t="shared" si="9"/>
        <v>120</v>
      </c>
      <c r="H218" s="13">
        <v>292</v>
      </c>
      <c r="I218" s="14">
        <f t="shared" si="10"/>
        <v>-291.63835616438354</v>
      </c>
      <c r="J218" s="15" t="s">
        <v>509</v>
      </c>
      <c r="T218" s="8"/>
      <c r="V218" s="9"/>
      <c r="W218" s="8"/>
      <c r="X218" s="8"/>
      <c r="Y218" s="1"/>
      <c r="Z218" s="9"/>
      <c r="AA218" s="8"/>
      <c r="AB218" s="8"/>
      <c r="AC218" s="1"/>
      <c r="AD218" s="9"/>
      <c r="AE218" s="8"/>
      <c r="AF218" s="8"/>
    </row>
    <row r="219" spans="1:36" x14ac:dyDescent="0.2">
      <c r="A219">
        <v>-291</v>
      </c>
      <c r="B219" s="10" t="s">
        <v>47</v>
      </c>
      <c r="C219" s="11" t="s">
        <v>45</v>
      </c>
      <c r="D219" s="15" t="s">
        <v>510</v>
      </c>
      <c r="E219" s="13">
        <v>22</v>
      </c>
      <c r="F219" s="13">
        <v>5</v>
      </c>
      <c r="G219" s="13">
        <f t="shared" si="9"/>
        <v>120</v>
      </c>
      <c r="H219" s="13">
        <v>292</v>
      </c>
      <c r="I219" s="14">
        <f t="shared" si="10"/>
        <v>-291.61095890410957</v>
      </c>
      <c r="J219" s="15" t="s">
        <v>505</v>
      </c>
      <c r="K219" s="10">
        <v>180</v>
      </c>
      <c r="L219" s="16">
        <v>180</v>
      </c>
      <c r="M219" s="16">
        <f>1000/L219</f>
        <v>5.5555555555555554</v>
      </c>
      <c r="N219" s="16">
        <f>8.33*M219</f>
        <v>46.277777777777779</v>
      </c>
      <c r="O219" s="16">
        <f>1.613*N219</f>
        <v>74.646055555555563</v>
      </c>
      <c r="T219" s="8"/>
      <c r="V219" s="9"/>
      <c r="W219" s="8"/>
      <c r="X219" s="8"/>
      <c r="Y219" s="1"/>
      <c r="Z219" s="9"/>
      <c r="AA219" s="8"/>
      <c r="AB219" s="8"/>
      <c r="AC219" s="1"/>
      <c r="AD219" s="9"/>
      <c r="AE219" s="8"/>
      <c r="AF219" s="8"/>
    </row>
    <row r="220" spans="1:36" x14ac:dyDescent="0.2">
      <c r="A220">
        <v>-291</v>
      </c>
      <c r="B220" s="10" t="s">
        <v>65</v>
      </c>
      <c r="D220" s="15" t="s">
        <v>511</v>
      </c>
      <c r="E220" s="13">
        <v>31</v>
      </c>
      <c r="F220" s="13">
        <v>5</v>
      </c>
      <c r="G220" s="13">
        <f t="shared" si="9"/>
        <v>120</v>
      </c>
      <c r="H220" s="13">
        <v>292</v>
      </c>
      <c r="I220" s="14">
        <f t="shared" si="10"/>
        <v>-291.58630136986301</v>
      </c>
      <c r="J220" s="15" t="s">
        <v>512</v>
      </c>
      <c r="K220" s="2">
        <v>180</v>
      </c>
      <c r="L220" s="8">
        <v>180</v>
      </c>
      <c r="M220" s="8">
        <f>1000/L220</f>
        <v>5.5555555555555554</v>
      </c>
      <c r="N220" s="8">
        <f>8.33*M220</f>
        <v>46.277777777777779</v>
      </c>
      <c r="O220" s="8">
        <f>1.613*N220</f>
        <v>74.646055555555563</v>
      </c>
      <c r="P220" s="1" t="s">
        <v>513</v>
      </c>
      <c r="Q220" s="21">
        <v>126</v>
      </c>
      <c r="R220" s="22">
        <f>1000/Q220</f>
        <v>7.9365079365079367</v>
      </c>
      <c r="S220" s="22">
        <f>8.33*R220</f>
        <v>66.111111111111114</v>
      </c>
      <c r="T220" s="8">
        <f>S220*1.33</f>
        <v>87.927777777777791</v>
      </c>
      <c r="U220" t="s">
        <v>41</v>
      </c>
      <c r="V220" s="9"/>
      <c r="W220" s="8"/>
      <c r="X220" s="8"/>
      <c r="Y220" s="1"/>
      <c r="Z220" s="9"/>
      <c r="AA220" s="8"/>
      <c r="AB220" s="8"/>
      <c r="AC220" s="1"/>
      <c r="AD220" s="9"/>
      <c r="AE220" s="8"/>
      <c r="AF220" s="8"/>
    </row>
    <row r="221" spans="1:36" x14ac:dyDescent="0.2">
      <c r="A221">
        <v>-291</v>
      </c>
      <c r="B221" s="10" t="s">
        <v>130</v>
      </c>
      <c r="D221" s="15" t="s">
        <v>514</v>
      </c>
      <c r="E221" s="13">
        <v>30</v>
      </c>
      <c r="F221" s="13">
        <v>6</v>
      </c>
      <c r="G221" s="13">
        <f t="shared" si="9"/>
        <v>151</v>
      </c>
      <c r="H221" s="13">
        <v>292</v>
      </c>
      <c r="I221" s="14">
        <f t="shared" si="10"/>
        <v>-291.50410958904109</v>
      </c>
      <c r="J221" s="15" t="s">
        <v>515</v>
      </c>
      <c r="K221" s="2">
        <v>180</v>
      </c>
      <c r="L221" s="8">
        <v>180</v>
      </c>
      <c r="M221" s="8">
        <f>1000/L221</f>
        <v>5.5555555555555554</v>
      </c>
      <c r="N221" s="8">
        <f>8.33*M221</f>
        <v>46.277777777777779</v>
      </c>
      <c r="O221" s="8">
        <f>1.613*N221</f>
        <v>74.646055555555563</v>
      </c>
      <c r="P221" s="1">
        <v>120</v>
      </c>
      <c r="Q221" s="9">
        <v>120</v>
      </c>
      <c r="R221" s="8">
        <f>1000/Q221</f>
        <v>8.3333333333333339</v>
      </c>
      <c r="S221" s="8">
        <f>8.33*R221</f>
        <v>69.416666666666671</v>
      </c>
      <c r="T221" s="8">
        <f>S221*1.33</f>
        <v>92.324166666666684</v>
      </c>
      <c r="U221" s="1">
        <v>240</v>
      </c>
      <c r="V221" s="9">
        <v>240</v>
      </c>
      <c r="W221" s="8">
        <f>1000/V221</f>
        <v>4.166666666666667</v>
      </c>
      <c r="X221" s="8">
        <f>8.33*W221</f>
        <v>34.708333333333336</v>
      </c>
      <c r="Y221" s="1">
        <v>30</v>
      </c>
      <c r="Z221" s="9">
        <v>30</v>
      </c>
      <c r="AA221" s="8">
        <f>1000/Z221</f>
        <v>33.333333333333336</v>
      </c>
      <c r="AB221" s="8">
        <f>8.33*AA221</f>
        <v>277.66666666666669</v>
      </c>
      <c r="AC221" s="1">
        <v>42</v>
      </c>
      <c r="AD221" s="9">
        <v>42</v>
      </c>
      <c r="AE221" s="8">
        <f>1000/AD221</f>
        <v>23.80952380952381</v>
      </c>
      <c r="AF221" s="8">
        <f>8.33*AE221</f>
        <v>198.33333333333334</v>
      </c>
      <c r="AG221" s="1">
        <v>2</v>
      </c>
      <c r="AH221" s="9">
        <v>2</v>
      </c>
      <c r="AI221" s="8">
        <f>1/AH221</f>
        <v>0.5</v>
      </c>
      <c r="AJ221" s="8">
        <f>8.33*AI221</f>
        <v>4.165</v>
      </c>
    </row>
    <row r="222" spans="1:36" x14ac:dyDescent="0.2">
      <c r="A222">
        <v>-291</v>
      </c>
      <c r="B222" s="10" t="s">
        <v>285</v>
      </c>
      <c r="D222" s="15" t="s">
        <v>516</v>
      </c>
      <c r="E222" s="13">
        <v>29</v>
      </c>
      <c r="F222" s="13">
        <v>7</v>
      </c>
      <c r="G222" s="13">
        <f t="shared" si="9"/>
        <v>181</v>
      </c>
      <c r="H222" s="13">
        <v>292</v>
      </c>
      <c r="I222" s="14">
        <f t="shared" si="10"/>
        <v>-291.42465753424659</v>
      </c>
      <c r="J222" s="15" t="s">
        <v>517</v>
      </c>
      <c r="T222" s="8"/>
      <c r="V222" s="9"/>
      <c r="W222" s="8"/>
      <c r="X222" s="8"/>
      <c r="Y222" s="1">
        <v>60</v>
      </c>
      <c r="Z222" s="9">
        <v>60</v>
      </c>
      <c r="AA222" s="8">
        <f>1000/Z222</f>
        <v>16.666666666666668</v>
      </c>
      <c r="AB222" s="8">
        <f>8.33*AA222</f>
        <v>138.83333333333334</v>
      </c>
      <c r="AC222" s="1" t="s">
        <v>41</v>
      </c>
      <c r="AD222" s="9"/>
      <c r="AE222" s="8"/>
      <c r="AF222" s="8"/>
      <c r="AG222" s="1">
        <v>2</v>
      </c>
      <c r="AH222" s="9">
        <v>2</v>
      </c>
      <c r="AI222" s="8">
        <f>1/AH222</f>
        <v>0.5</v>
      </c>
      <c r="AJ222" s="8">
        <f>8.33*AI222</f>
        <v>4.165</v>
      </c>
    </row>
    <row r="223" spans="1:36" x14ac:dyDescent="0.2">
      <c r="A223">
        <v>-289</v>
      </c>
      <c r="B223" s="10" t="s">
        <v>47</v>
      </c>
      <c r="C223" s="11" t="s">
        <v>39</v>
      </c>
      <c r="D223" s="15" t="s">
        <v>518</v>
      </c>
      <c r="E223" s="13">
        <v>10</v>
      </c>
      <c r="F223" s="13">
        <v>5</v>
      </c>
      <c r="G223" s="13">
        <f t="shared" si="9"/>
        <v>120</v>
      </c>
      <c r="H223" s="13">
        <v>290</v>
      </c>
      <c r="I223" s="14">
        <f t="shared" si="10"/>
        <v>-289.64383561643837</v>
      </c>
      <c r="J223" s="15" t="s">
        <v>519</v>
      </c>
      <c r="P223">
        <v>84</v>
      </c>
      <c r="Q223" s="17">
        <v>84</v>
      </c>
      <c r="R223" s="16">
        <f>1000/Q223</f>
        <v>11.904761904761905</v>
      </c>
      <c r="S223" s="16">
        <f>8.33*R223</f>
        <v>99.166666666666671</v>
      </c>
      <c r="T223" s="16">
        <f>S223*1.33</f>
        <v>131.89166666666668</v>
      </c>
    </row>
    <row r="224" spans="1:36" x14ac:dyDescent="0.2">
      <c r="A224">
        <v>-289</v>
      </c>
      <c r="B224" s="10" t="s">
        <v>47</v>
      </c>
      <c r="C224" s="11" t="s">
        <v>42</v>
      </c>
      <c r="D224" s="15" t="s">
        <v>520</v>
      </c>
      <c r="E224" s="13">
        <v>20</v>
      </c>
      <c r="F224" s="13">
        <v>5</v>
      </c>
      <c r="G224" s="13">
        <f t="shared" si="9"/>
        <v>120</v>
      </c>
      <c r="H224" s="13">
        <v>290</v>
      </c>
      <c r="I224" s="14">
        <f t="shared" si="10"/>
        <v>-289.61643835616439</v>
      </c>
      <c r="J224" s="15" t="s">
        <v>521</v>
      </c>
      <c r="K224" s="10">
        <v>90</v>
      </c>
      <c r="L224" s="16">
        <v>90</v>
      </c>
      <c r="M224" s="16">
        <f>1000/L224</f>
        <v>11.111111111111111</v>
      </c>
      <c r="N224" s="16">
        <f>8.33*M224</f>
        <v>92.555555555555557</v>
      </c>
      <c r="O224" s="16">
        <f>1.613*N224</f>
        <v>149.29211111111113</v>
      </c>
      <c r="T224" s="8"/>
    </row>
    <row r="225" spans="1:36" x14ac:dyDescent="0.2">
      <c r="A225">
        <v>-289</v>
      </c>
      <c r="B225" s="10" t="s">
        <v>47</v>
      </c>
      <c r="C225" s="11" t="s">
        <v>45</v>
      </c>
      <c r="D225" s="15" t="s">
        <v>522</v>
      </c>
      <c r="E225" s="13">
        <v>30</v>
      </c>
      <c r="F225" s="13">
        <v>5</v>
      </c>
      <c r="G225" s="13">
        <f t="shared" si="9"/>
        <v>120</v>
      </c>
      <c r="H225" s="13">
        <v>290</v>
      </c>
      <c r="I225" s="14">
        <f t="shared" si="10"/>
        <v>-289.58904109589042</v>
      </c>
      <c r="J225" s="15" t="s">
        <v>523</v>
      </c>
      <c r="K225" s="10">
        <v>102</v>
      </c>
      <c r="L225" s="16">
        <v>102</v>
      </c>
      <c r="M225" s="16">
        <f>1000/L225</f>
        <v>9.8039215686274517</v>
      </c>
      <c r="N225" s="16">
        <f>8.33*M225</f>
        <v>81.666666666666671</v>
      </c>
      <c r="O225" s="16">
        <f>1.613*N225</f>
        <v>131.72833333333335</v>
      </c>
      <c r="P225">
        <v>78</v>
      </c>
      <c r="Q225" s="17">
        <v>78</v>
      </c>
      <c r="R225" s="16">
        <f>1000/Q225</f>
        <v>12.820512820512821</v>
      </c>
      <c r="S225" s="16">
        <f>8.33*R225</f>
        <v>106.7948717948718</v>
      </c>
      <c r="T225" s="16">
        <f>S225*1.33</f>
        <v>142.03717948717949</v>
      </c>
    </row>
    <row r="226" spans="1:36" x14ac:dyDescent="0.2">
      <c r="A226">
        <v>-289</v>
      </c>
      <c r="B226" s="10" t="s">
        <v>130</v>
      </c>
      <c r="C226" s="11" t="s">
        <v>39</v>
      </c>
      <c r="D226" s="15" t="s">
        <v>524</v>
      </c>
      <c r="E226" s="13">
        <v>8</v>
      </c>
      <c r="F226" s="13">
        <v>7</v>
      </c>
      <c r="G226" s="13">
        <f t="shared" si="9"/>
        <v>181</v>
      </c>
      <c r="H226" s="13">
        <v>290</v>
      </c>
      <c r="I226" s="14">
        <f t="shared" si="10"/>
        <v>-289.48219178082189</v>
      </c>
      <c r="J226" s="15" t="s">
        <v>525</v>
      </c>
      <c r="K226" s="10" t="s">
        <v>526</v>
      </c>
      <c r="L226" s="19">
        <v>90</v>
      </c>
      <c r="M226" s="19">
        <f>1000/L226</f>
        <v>11.111111111111111</v>
      </c>
      <c r="N226" s="19">
        <f>8.33*M226</f>
        <v>92.555555555555557</v>
      </c>
      <c r="O226" s="19">
        <f>1.613*N226</f>
        <v>149.29211111111113</v>
      </c>
      <c r="P226" t="s">
        <v>41</v>
      </c>
      <c r="T226" s="8"/>
      <c r="AG226" s="1">
        <v>2.5</v>
      </c>
      <c r="AH226" s="9">
        <v>2.5</v>
      </c>
      <c r="AI226" s="8">
        <f>1/AH226</f>
        <v>0.4</v>
      </c>
      <c r="AJ226" s="8">
        <f>8.33*AI226</f>
        <v>3.3320000000000003</v>
      </c>
    </row>
    <row r="227" spans="1:36" x14ac:dyDescent="0.2">
      <c r="A227">
        <v>-289</v>
      </c>
      <c r="B227" s="10" t="s">
        <v>130</v>
      </c>
      <c r="C227" s="11" t="s">
        <v>42</v>
      </c>
      <c r="D227" s="15" t="s">
        <v>527</v>
      </c>
      <c r="E227" s="13">
        <v>18</v>
      </c>
      <c r="F227" s="13">
        <v>7</v>
      </c>
      <c r="G227" s="13">
        <f t="shared" si="9"/>
        <v>181</v>
      </c>
      <c r="H227" s="13">
        <v>290</v>
      </c>
      <c r="I227" s="14">
        <f t="shared" si="10"/>
        <v>-289.45479452054792</v>
      </c>
      <c r="J227" s="15" t="s">
        <v>528</v>
      </c>
      <c r="L227" s="19">
        <v>90</v>
      </c>
      <c r="M227" s="19">
        <v>11.11</v>
      </c>
      <c r="N227" s="19">
        <v>92.56</v>
      </c>
      <c r="O227" s="19">
        <v>149.29</v>
      </c>
      <c r="T227" s="8"/>
    </row>
    <row r="228" spans="1:36" x14ac:dyDescent="0.2">
      <c r="A228">
        <v>-289</v>
      </c>
      <c r="B228" s="10" t="s">
        <v>130</v>
      </c>
      <c r="C228" s="11" t="s">
        <v>45</v>
      </c>
      <c r="D228" s="15" t="s">
        <v>529</v>
      </c>
      <c r="E228" s="13">
        <v>28</v>
      </c>
      <c r="F228" s="13">
        <v>7</v>
      </c>
      <c r="G228" s="13">
        <f t="shared" si="9"/>
        <v>181</v>
      </c>
      <c r="H228" s="13">
        <v>290</v>
      </c>
      <c r="I228" s="14">
        <f t="shared" si="10"/>
        <v>-289.42739726027395</v>
      </c>
      <c r="J228" s="15" t="s">
        <v>530</v>
      </c>
      <c r="K228" s="10">
        <v>88</v>
      </c>
      <c r="L228" s="16">
        <v>88</v>
      </c>
      <c r="M228" s="16">
        <f>1000/L228</f>
        <v>11.363636363636363</v>
      </c>
      <c r="N228" s="16">
        <f>8.33*M228</f>
        <v>94.659090909090907</v>
      </c>
      <c r="O228" s="16">
        <f>1.613*N228</f>
        <v>152.68511363636364</v>
      </c>
      <c r="T228" s="8"/>
      <c r="AG228" t="s">
        <v>133</v>
      </c>
      <c r="AH228" s="17" t="s">
        <v>133</v>
      </c>
    </row>
    <row r="229" spans="1:36" x14ac:dyDescent="0.2">
      <c r="A229">
        <v>-289</v>
      </c>
      <c r="B229" s="10" t="s">
        <v>285</v>
      </c>
      <c r="D229" s="15" t="s">
        <v>531</v>
      </c>
      <c r="E229" s="13">
        <v>7</v>
      </c>
      <c r="F229" s="13">
        <v>8</v>
      </c>
      <c r="G229" s="13">
        <f t="shared" si="9"/>
        <v>212</v>
      </c>
      <c r="H229" s="13">
        <v>290</v>
      </c>
      <c r="I229" s="14">
        <f t="shared" si="10"/>
        <v>-289.39999999999998</v>
      </c>
      <c r="J229" s="15" t="s">
        <v>532</v>
      </c>
      <c r="K229" s="10" t="s">
        <v>311</v>
      </c>
      <c r="L229" s="19">
        <v>84</v>
      </c>
      <c r="M229" s="19">
        <f>1000/L229</f>
        <v>11.904761904761905</v>
      </c>
      <c r="N229" s="19">
        <f>8.33*M229</f>
        <v>99.166666666666671</v>
      </c>
      <c r="O229" s="19">
        <f>1.613*N229</f>
        <v>159.95583333333335</v>
      </c>
      <c r="T229" s="8"/>
    </row>
    <row r="230" spans="1:36" x14ac:dyDescent="0.2">
      <c r="A230">
        <v>-288</v>
      </c>
      <c r="B230" s="10" t="s">
        <v>91</v>
      </c>
      <c r="D230" s="15" t="s">
        <v>533</v>
      </c>
      <c r="E230" s="13">
        <v>23</v>
      </c>
      <c r="F230" s="13">
        <v>9</v>
      </c>
      <c r="G230" s="13">
        <f t="shared" si="9"/>
        <v>243</v>
      </c>
      <c r="H230" s="13">
        <v>289</v>
      </c>
      <c r="I230" s="14">
        <f t="shared" si="10"/>
        <v>-288.2712328767123</v>
      </c>
      <c r="J230" s="15" t="s">
        <v>534</v>
      </c>
      <c r="T230" s="8"/>
      <c r="Y230">
        <v>36</v>
      </c>
      <c r="Z230" s="17">
        <v>36</v>
      </c>
      <c r="AA230" s="16">
        <f>1000/Z230</f>
        <v>27.777777777777779</v>
      </c>
      <c r="AB230" s="16">
        <f>8.33*AA230</f>
        <v>231.38888888888889</v>
      </c>
      <c r="AC230" s="1">
        <v>12</v>
      </c>
      <c r="AD230" s="9">
        <v>12</v>
      </c>
      <c r="AE230" s="8">
        <f>1000/AD230</f>
        <v>83.333333333333329</v>
      </c>
      <c r="AF230" s="8">
        <f>8.33*AE230</f>
        <v>694.16666666666663</v>
      </c>
      <c r="AG230" s="1">
        <v>3</v>
      </c>
      <c r="AH230" s="9">
        <v>3</v>
      </c>
      <c r="AI230" s="8">
        <f>1/AH230</f>
        <v>0.33333333333333331</v>
      </c>
      <c r="AJ230" s="8">
        <f>8.33*AI230</f>
        <v>2.7766666666666664</v>
      </c>
    </row>
    <row r="231" spans="1:36" x14ac:dyDescent="0.2">
      <c r="A231">
        <v>-288</v>
      </c>
      <c r="B231" s="10" t="s">
        <v>162</v>
      </c>
      <c r="D231" s="15" t="s">
        <v>535</v>
      </c>
      <c r="E231" s="13">
        <v>19</v>
      </c>
      <c r="F231" s="13">
        <v>3</v>
      </c>
      <c r="G231" s="13">
        <f t="shared" si="9"/>
        <v>59</v>
      </c>
      <c r="H231" s="13">
        <v>288</v>
      </c>
      <c r="I231" s="14">
        <f t="shared" si="10"/>
        <v>-287.786301369863</v>
      </c>
      <c r="J231" s="15" t="s">
        <v>536</v>
      </c>
      <c r="K231" s="2">
        <v>120</v>
      </c>
      <c r="L231" s="8">
        <v>120</v>
      </c>
      <c r="M231" s="8">
        <f>1000/L231</f>
        <v>8.3333333333333339</v>
      </c>
      <c r="N231" s="8">
        <f>8.33*M231</f>
        <v>69.416666666666671</v>
      </c>
      <c r="O231" s="8">
        <f>1.613*N231</f>
        <v>111.96908333333334</v>
      </c>
      <c r="P231" s="1">
        <v>126</v>
      </c>
      <c r="Q231" s="9">
        <v>126</v>
      </c>
      <c r="R231" s="8">
        <f>1000/Q231</f>
        <v>7.9365079365079367</v>
      </c>
      <c r="S231" s="8">
        <f>8.33*R231</f>
        <v>66.111111111111114</v>
      </c>
      <c r="T231" s="8">
        <f>S231*1.33</f>
        <v>87.927777777777791</v>
      </c>
      <c r="U231" s="1" t="s">
        <v>537</v>
      </c>
      <c r="V231" s="21">
        <v>228</v>
      </c>
      <c r="W231" s="22">
        <f>1000/V231</f>
        <v>4.3859649122807021</v>
      </c>
      <c r="X231" s="22">
        <f>8.33*W231</f>
        <v>36.535087719298247</v>
      </c>
      <c r="Y231" s="1">
        <v>66</v>
      </c>
      <c r="Z231" s="9">
        <v>66</v>
      </c>
      <c r="AA231" s="8">
        <f>1000/Z231</f>
        <v>15.151515151515152</v>
      </c>
      <c r="AB231" s="8">
        <f>8.33*AA231</f>
        <v>126.21212121212122</v>
      </c>
      <c r="AC231" s="1">
        <v>18</v>
      </c>
      <c r="AD231" s="9">
        <v>18</v>
      </c>
      <c r="AE231" s="8">
        <f>1000/AD231</f>
        <v>55.555555555555557</v>
      </c>
      <c r="AF231" s="8">
        <f>8.33*AE231</f>
        <v>462.77777777777777</v>
      </c>
      <c r="AG231" s="18" t="s">
        <v>82</v>
      </c>
    </row>
    <row r="232" spans="1:36" x14ac:dyDescent="0.2">
      <c r="A232">
        <v>-287</v>
      </c>
      <c r="B232" s="10" t="s">
        <v>60</v>
      </c>
      <c r="D232" s="15" t="s">
        <v>538</v>
      </c>
      <c r="E232" s="13">
        <v>17</v>
      </c>
      <c r="F232" s="13">
        <v>4</v>
      </c>
      <c r="G232" s="13">
        <f t="shared" si="9"/>
        <v>90</v>
      </c>
      <c r="H232" s="13">
        <v>288</v>
      </c>
      <c r="I232" s="14">
        <f t="shared" si="10"/>
        <v>-287.7068493150685</v>
      </c>
      <c r="J232" s="15" t="s">
        <v>539</v>
      </c>
      <c r="R232" s="8"/>
      <c r="S232" s="8"/>
      <c r="T232" s="8"/>
      <c r="U232" t="s">
        <v>540</v>
      </c>
      <c r="V232" s="20">
        <v>222</v>
      </c>
      <c r="W232" s="19">
        <f>1000/V232</f>
        <v>4.5045045045045047</v>
      </c>
      <c r="X232" s="19">
        <f>8.33*W232</f>
        <v>37.522522522522522</v>
      </c>
      <c r="Y232" s="1">
        <v>36</v>
      </c>
      <c r="Z232" s="9">
        <v>36</v>
      </c>
      <c r="AA232" s="8">
        <f>1000/Z232</f>
        <v>27.777777777777779</v>
      </c>
      <c r="AB232" s="8">
        <f>8.33*AA232</f>
        <v>231.38888888888889</v>
      </c>
      <c r="AC232" s="1">
        <v>20</v>
      </c>
      <c r="AD232" s="9">
        <v>20</v>
      </c>
      <c r="AE232" s="8">
        <f>1000/AD232</f>
        <v>50</v>
      </c>
      <c r="AF232" s="8">
        <f>8.33*AE232</f>
        <v>416.5</v>
      </c>
      <c r="AG232" t="s">
        <v>82</v>
      </c>
    </row>
    <row r="233" spans="1:36" x14ac:dyDescent="0.2">
      <c r="A233">
        <v>-286</v>
      </c>
      <c r="B233" s="10" t="s">
        <v>72</v>
      </c>
      <c r="D233" s="15" t="s">
        <v>541</v>
      </c>
      <c r="E233" s="13">
        <v>2</v>
      </c>
      <c r="F233" s="13">
        <v>9</v>
      </c>
      <c r="G233" s="13">
        <f t="shared" si="9"/>
        <v>243</v>
      </c>
      <c r="H233" s="13">
        <v>287</v>
      </c>
      <c r="I233" s="14">
        <f t="shared" si="10"/>
        <v>-286.32876712328766</v>
      </c>
      <c r="J233" s="15" t="s">
        <v>542</v>
      </c>
      <c r="K233" s="2">
        <v>120</v>
      </c>
      <c r="L233" s="8">
        <v>120</v>
      </c>
      <c r="M233" s="8">
        <f>1000/L233</f>
        <v>8.3333333333333339</v>
      </c>
      <c r="N233" s="8">
        <f>8.33*M233</f>
        <v>69.416666666666671</v>
      </c>
      <c r="O233" s="8">
        <f>1.613*N233</f>
        <v>111.96908333333334</v>
      </c>
      <c r="P233" s="1">
        <v>81</v>
      </c>
      <c r="Q233" s="9">
        <v>81</v>
      </c>
      <c r="R233" s="8">
        <f>1000/Q233</f>
        <v>12.345679012345679</v>
      </c>
      <c r="S233" s="8">
        <f>8.33*R233</f>
        <v>102.83950617283951</v>
      </c>
      <c r="T233" s="8">
        <f>S233*1.33</f>
        <v>136.77654320987656</v>
      </c>
      <c r="U233" s="1">
        <v>360</v>
      </c>
      <c r="V233" s="9">
        <v>360</v>
      </c>
      <c r="W233" s="8">
        <f>1000/V233</f>
        <v>2.7777777777777777</v>
      </c>
      <c r="X233" s="8">
        <f>8.33*W233</f>
        <v>23.138888888888889</v>
      </c>
      <c r="Y233" s="1">
        <v>21</v>
      </c>
      <c r="Z233" s="9">
        <v>21</v>
      </c>
      <c r="AA233" s="8">
        <f>1000/Z233</f>
        <v>47.61904761904762</v>
      </c>
      <c r="AB233" s="8">
        <f>8.33*AA233</f>
        <v>396.66666666666669</v>
      </c>
      <c r="AC233" s="18">
        <v>27</v>
      </c>
      <c r="AD233" s="17">
        <v>27</v>
      </c>
      <c r="AE233" s="16">
        <f>1000/AD233</f>
        <v>37.037037037037038</v>
      </c>
      <c r="AF233" s="16">
        <f>8.33*AE233</f>
        <v>308.51851851851853</v>
      </c>
      <c r="AG233" t="s">
        <v>133</v>
      </c>
      <c r="AH233" s="17" t="s">
        <v>133</v>
      </c>
    </row>
    <row r="234" spans="1:36" x14ac:dyDescent="0.2">
      <c r="A234">
        <v>-286</v>
      </c>
      <c r="B234" s="10" t="s">
        <v>91</v>
      </c>
      <c r="D234" s="15" t="s">
        <v>543</v>
      </c>
      <c r="E234" s="13">
        <v>2</v>
      </c>
      <c r="F234" s="13">
        <v>10</v>
      </c>
      <c r="G234" s="13">
        <f t="shared" si="9"/>
        <v>273</v>
      </c>
      <c r="H234" s="13">
        <v>287</v>
      </c>
      <c r="I234" s="14">
        <f t="shared" si="10"/>
        <v>-286.24657534246575</v>
      </c>
      <c r="J234" s="15" t="s">
        <v>544</v>
      </c>
      <c r="K234" s="10" t="s">
        <v>545</v>
      </c>
      <c r="L234" s="19">
        <v>120</v>
      </c>
      <c r="M234" s="19">
        <f>1000/L234</f>
        <v>8.3333333333333339</v>
      </c>
      <c r="N234" s="19">
        <f>8.33*M234</f>
        <v>69.416666666666671</v>
      </c>
      <c r="O234" s="19">
        <f>1.613*N234</f>
        <v>111.96908333333334</v>
      </c>
      <c r="T234" s="8"/>
    </row>
    <row r="235" spans="1:36" x14ac:dyDescent="0.2">
      <c r="A235">
        <v>-284</v>
      </c>
      <c r="B235" s="10" t="s">
        <v>91</v>
      </c>
      <c r="D235" s="15" t="s">
        <v>546</v>
      </c>
      <c r="E235" s="13">
        <v>9</v>
      </c>
      <c r="F235" s="13">
        <v>10</v>
      </c>
      <c r="G235" s="13">
        <f t="shared" si="9"/>
        <v>273</v>
      </c>
      <c r="H235" s="13">
        <v>285</v>
      </c>
      <c r="I235" s="14">
        <f t="shared" si="10"/>
        <v>-284.22739726027396</v>
      </c>
      <c r="J235" s="15" t="s">
        <v>547</v>
      </c>
      <c r="T235" s="8"/>
      <c r="Y235" s="1">
        <v>36</v>
      </c>
      <c r="Z235" s="9">
        <v>36</v>
      </c>
      <c r="AA235" s="8">
        <f>1000/Z235</f>
        <v>27.777777777777779</v>
      </c>
      <c r="AB235" s="8">
        <f>8.33*AA235</f>
        <v>231.38888888888889</v>
      </c>
    </row>
    <row r="236" spans="1:36" x14ac:dyDescent="0.2">
      <c r="A236">
        <v>-284</v>
      </c>
      <c r="B236" s="10" t="s">
        <v>120</v>
      </c>
      <c r="C236" s="11" t="s">
        <v>39</v>
      </c>
      <c r="D236" s="15" t="s">
        <v>546</v>
      </c>
      <c r="E236" s="13">
        <v>9</v>
      </c>
      <c r="F236" s="13">
        <v>10</v>
      </c>
      <c r="G236" s="13">
        <f t="shared" si="9"/>
        <v>273</v>
      </c>
      <c r="H236" s="13">
        <v>285</v>
      </c>
      <c r="I236" s="14">
        <f t="shared" si="10"/>
        <v>-284.22739726027396</v>
      </c>
      <c r="J236" s="15" t="s">
        <v>548</v>
      </c>
      <c r="T236" s="8"/>
      <c r="AC236">
        <v>24</v>
      </c>
      <c r="AD236" s="17">
        <v>24</v>
      </c>
      <c r="AE236" s="16">
        <f>1000/AD236</f>
        <v>41.666666666666664</v>
      </c>
      <c r="AF236" s="16">
        <f>8.33*AE236</f>
        <v>347.08333333333331</v>
      </c>
    </row>
    <row r="237" spans="1:36" x14ac:dyDescent="0.2">
      <c r="A237">
        <v>-284</v>
      </c>
      <c r="B237" s="10" t="s">
        <v>120</v>
      </c>
      <c r="C237" s="27" t="s">
        <v>549</v>
      </c>
      <c r="D237" s="15" t="s">
        <v>546</v>
      </c>
      <c r="E237" s="13">
        <v>9</v>
      </c>
      <c r="F237" s="13">
        <v>10</v>
      </c>
      <c r="G237" s="13">
        <f t="shared" si="9"/>
        <v>273</v>
      </c>
      <c r="H237" s="13">
        <v>285</v>
      </c>
      <c r="I237" s="14">
        <f t="shared" si="10"/>
        <v>-284.22739726027396</v>
      </c>
      <c r="J237" s="15" t="s">
        <v>550</v>
      </c>
      <c r="P237">
        <v>96</v>
      </c>
      <c r="Q237" s="17">
        <v>96</v>
      </c>
      <c r="R237" s="16">
        <v>10.42</v>
      </c>
      <c r="S237" s="16">
        <v>86.77</v>
      </c>
      <c r="T237" s="16">
        <f>S237*1.33</f>
        <v>115.4041</v>
      </c>
    </row>
    <row r="238" spans="1:36" x14ac:dyDescent="0.2">
      <c r="A238">
        <v>-284</v>
      </c>
      <c r="B238" s="10" t="s">
        <v>91</v>
      </c>
      <c r="C238" s="11" t="s">
        <v>551</v>
      </c>
      <c r="D238" s="7" t="s">
        <v>552</v>
      </c>
      <c r="E238" s="13">
        <v>25</v>
      </c>
      <c r="F238" s="13">
        <v>10</v>
      </c>
      <c r="G238" s="13">
        <f t="shared" si="9"/>
        <v>273</v>
      </c>
      <c r="H238" s="13">
        <v>285</v>
      </c>
      <c r="I238" s="14">
        <f t="shared" si="10"/>
        <v>-284.18356164383562</v>
      </c>
      <c r="J238" s="7" t="s">
        <v>547</v>
      </c>
      <c r="P238" t="s">
        <v>82</v>
      </c>
      <c r="T238" s="8"/>
      <c r="AC238" t="s">
        <v>41</v>
      </c>
    </row>
    <row r="239" spans="1:36" x14ac:dyDescent="0.2">
      <c r="A239">
        <v>-284</v>
      </c>
      <c r="B239" s="10" t="s">
        <v>91</v>
      </c>
      <c r="C239" s="11" t="s">
        <v>45</v>
      </c>
      <c r="D239" s="26" t="s">
        <v>553</v>
      </c>
      <c r="E239" s="13">
        <v>29</v>
      </c>
      <c r="F239" s="13">
        <v>10</v>
      </c>
      <c r="G239" s="13">
        <f t="shared" si="9"/>
        <v>273</v>
      </c>
      <c r="H239" s="13">
        <v>285</v>
      </c>
      <c r="I239" s="14">
        <f t="shared" si="10"/>
        <v>-284.17260273972602</v>
      </c>
      <c r="J239" s="26" t="s">
        <v>547</v>
      </c>
      <c r="T239" s="8"/>
    </row>
    <row r="240" spans="1:36" x14ac:dyDescent="0.2">
      <c r="A240">
        <v>-284</v>
      </c>
      <c r="B240" s="10" t="s">
        <v>75</v>
      </c>
      <c r="D240" s="15" t="s">
        <v>554</v>
      </c>
      <c r="E240" s="13">
        <v>6</v>
      </c>
      <c r="F240" s="13">
        <v>1</v>
      </c>
      <c r="G240" s="13">
        <f t="shared" si="9"/>
        <v>0</v>
      </c>
      <c r="H240" s="13">
        <v>284</v>
      </c>
      <c r="I240" s="14">
        <f t="shared" si="10"/>
        <v>-283.98356164383563</v>
      </c>
      <c r="J240" s="15" t="s">
        <v>555</v>
      </c>
      <c r="K240" s="10" t="s">
        <v>41</v>
      </c>
      <c r="P240" s="1" t="s">
        <v>311</v>
      </c>
      <c r="T240" s="8"/>
    </row>
    <row r="241" spans="1:36" x14ac:dyDescent="0.2">
      <c r="A241">
        <v>-284</v>
      </c>
      <c r="B241" s="10" t="s">
        <v>83</v>
      </c>
      <c r="D241" s="15" t="s">
        <v>556</v>
      </c>
      <c r="E241" s="13">
        <v>4</v>
      </c>
      <c r="F241" s="13">
        <v>2</v>
      </c>
      <c r="G241" s="13">
        <f t="shared" si="9"/>
        <v>31</v>
      </c>
      <c r="H241" s="13">
        <v>284</v>
      </c>
      <c r="I241" s="14">
        <f t="shared" si="10"/>
        <v>-283.90410958904107</v>
      </c>
      <c r="J241" s="15" t="s">
        <v>557</v>
      </c>
      <c r="K241" s="2">
        <v>180</v>
      </c>
      <c r="L241" s="8">
        <v>180</v>
      </c>
      <c r="M241" s="8">
        <f>1000/L241</f>
        <v>5.5555555555555554</v>
      </c>
      <c r="N241" s="8">
        <f>8.33*M241</f>
        <v>46.277777777777779</v>
      </c>
      <c r="O241" s="8">
        <f>1.613*N241</f>
        <v>74.646055555555563</v>
      </c>
      <c r="P241" s="1" t="s">
        <v>311</v>
      </c>
      <c r="T241" s="8"/>
    </row>
    <row r="242" spans="1:36" x14ac:dyDescent="0.2">
      <c r="A242">
        <v>-283</v>
      </c>
      <c r="B242" s="10" t="s">
        <v>91</v>
      </c>
      <c r="D242" s="15" t="s">
        <v>558</v>
      </c>
      <c r="E242" s="13">
        <v>28</v>
      </c>
      <c r="F242" s="13">
        <v>9</v>
      </c>
      <c r="G242" s="13">
        <f t="shared" si="9"/>
        <v>243</v>
      </c>
      <c r="H242" s="13">
        <v>284</v>
      </c>
      <c r="I242" s="14">
        <f t="shared" si="10"/>
        <v>-283.25753424657535</v>
      </c>
      <c r="J242" s="15" t="s">
        <v>559</v>
      </c>
      <c r="K242" s="10" t="s">
        <v>41</v>
      </c>
      <c r="L242" s="8"/>
      <c r="M242" s="8"/>
      <c r="P242" s="1">
        <v>108</v>
      </c>
      <c r="Q242" s="9">
        <v>108</v>
      </c>
      <c r="R242" s="8">
        <f>1000/Q242</f>
        <v>9.2592592592592595</v>
      </c>
      <c r="S242" s="8">
        <f>8.33*R242</f>
        <v>77.129629629629633</v>
      </c>
      <c r="T242" s="8">
        <f>S242*1.33</f>
        <v>102.58240740740742</v>
      </c>
      <c r="U242" s="1">
        <v>180</v>
      </c>
      <c r="V242" s="9">
        <v>180</v>
      </c>
      <c r="W242" s="8">
        <f>1000/V242</f>
        <v>5.5555555555555554</v>
      </c>
      <c r="X242" s="8">
        <f>8.33*W242</f>
        <v>46.277777777777779</v>
      </c>
      <c r="Y242" s="1" t="s">
        <v>560</v>
      </c>
      <c r="Z242" s="9">
        <v>36</v>
      </c>
      <c r="AA242" s="8">
        <f>1000/Z242</f>
        <v>27.777777777777779</v>
      </c>
      <c r="AB242" s="8">
        <f>8.33*AA242</f>
        <v>231.38888888888889</v>
      </c>
      <c r="AC242" s="1">
        <v>24</v>
      </c>
      <c r="AD242" s="9">
        <v>24</v>
      </c>
      <c r="AE242" s="8">
        <f>1000/AD242</f>
        <v>41.666666666666664</v>
      </c>
      <c r="AF242" s="8">
        <f>8.33*AE242</f>
        <v>347.08333333333331</v>
      </c>
      <c r="AG242" s="1">
        <v>4</v>
      </c>
      <c r="AH242" s="9">
        <v>4</v>
      </c>
      <c r="AI242" s="8">
        <f>1/AH242</f>
        <v>0.25</v>
      </c>
      <c r="AJ242" s="8">
        <f>8.33*AI242</f>
        <v>2.0825</v>
      </c>
    </row>
    <row r="243" spans="1:36" x14ac:dyDescent="0.2">
      <c r="A243">
        <v>-281</v>
      </c>
      <c r="B243" s="10" t="s">
        <v>94</v>
      </c>
      <c r="D243" s="15" t="s">
        <v>561</v>
      </c>
      <c r="E243" s="13">
        <v>5</v>
      </c>
      <c r="F243" s="13">
        <v>11</v>
      </c>
      <c r="G243" s="13">
        <f t="shared" si="9"/>
        <v>304</v>
      </c>
      <c r="H243" s="13">
        <v>282</v>
      </c>
      <c r="I243" s="14">
        <f t="shared" si="10"/>
        <v>-281.15342465753423</v>
      </c>
      <c r="J243" s="15" t="s">
        <v>562</v>
      </c>
      <c r="K243" s="2" t="s">
        <v>563</v>
      </c>
      <c r="L243" s="8">
        <v>78</v>
      </c>
      <c r="M243" s="8">
        <f>1000/L243</f>
        <v>12.820512820512821</v>
      </c>
      <c r="N243" s="8">
        <f>8.33*M243</f>
        <v>106.7948717948718</v>
      </c>
      <c r="O243" s="8">
        <f>1.613*N243</f>
        <v>172.26012820512821</v>
      </c>
      <c r="P243" t="s">
        <v>41</v>
      </c>
      <c r="R243" s="8"/>
      <c r="S243" s="8"/>
      <c r="T243" s="8"/>
      <c r="W243" s="8"/>
      <c r="X243" s="8"/>
      <c r="AA243" s="8"/>
      <c r="AB243" s="8"/>
      <c r="AE243" s="8"/>
      <c r="AF243" s="8"/>
    </row>
    <row r="244" spans="1:36" x14ac:dyDescent="0.2">
      <c r="A244">
        <v>-281</v>
      </c>
      <c r="B244" s="10" t="s">
        <v>36</v>
      </c>
      <c r="D244" s="15" t="s">
        <v>564</v>
      </c>
      <c r="E244" s="13">
        <v>4</v>
      </c>
      <c r="F244" s="13">
        <v>12</v>
      </c>
      <c r="G244" s="13">
        <f t="shared" si="9"/>
        <v>334</v>
      </c>
      <c r="H244" s="13">
        <v>282</v>
      </c>
      <c r="I244" s="14">
        <f t="shared" si="10"/>
        <v>-281.07397260273973</v>
      </c>
      <c r="J244" s="15" t="s">
        <v>565</v>
      </c>
      <c r="K244" s="2">
        <v>30</v>
      </c>
      <c r="L244" s="8">
        <v>30</v>
      </c>
      <c r="M244" s="8">
        <f>1000/L244</f>
        <v>33.333333333333336</v>
      </c>
      <c r="N244" s="8">
        <f>8.33*M244</f>
        <v>277.66666666666669</v>
      </c>
      <c r="O244" s="8">
        <f>1.613*N244</f>
        <v>447.87633333333338</v>
      </c>
      <c r="P244" s="1">
        <v>72</v>
      </c>
      <c r="Q244" s="9">
        <v>72</v>
      </c>
      <c r="R244" s="8">
        <f>1000/Q244</f>
        <v>13.888888888888889</v>
      </c>
      <c r="S244" s="8">
        <f>8.33*R244</f>
        <v>115.69444444444444</v>
      </c>
      <c r="T244" s="8">
        <f>S244*1.33</f>
        <v>153.87361111111113</v>
      </c>
      <c r="U244" s="1">
        <v>270</v>
      </c>
      <c r="V244" s="9">
        <v>270</v>
      </c>
      <c r="W244" s="8">
        <f>1000/V244</f>
        <v>3.7037037037037037</v>
      </c>
      <c r="X244" s="8">
        <f>8.33*W244</f>
        <v>30.851851851851851</v>
      </c>
      <c r="Y244" s="1">
        <v>27</v>
      </c>
      <c r="Z244" s="9">
        <v>27</v>
      </c>
      <c r="AA244" s="8">
        <f>1000/Z244</f>
        <v>37.037037037037038</v>
      </c>
      <c r="AB244" s="8">
        <f>8.33*AA244</f>
        <v>308.51851851851853</v>
      </c>
      <c r="AC244" s="1">
        <v>30</v>
      </c>
      <c r="AD244" s="9">
        <v>30</v>
      </c>
      <c r="AE244" s="8">
        <f>1000/AD244</f>
        <v>33.333333333333336</v>
      </c>
      <c r="AF244" s="8">
        <f>8.33*AE244</f>
        <v>277.66666666666669</v>
      </c>
    </row>
    <row r="245" spans="1:36" x14ac:dyDescent="0.2">
      <c r="A245">
        <v>-281</v>
      </c>
      <c r="B245" s="10" t="s">
        <v>75</v>
      </c>
      <c r="D245" s="15" t="s">
        <v>566</v>
      </c>
      <c r="E245" s="13">
        <v>2</v>
      </c>
      <c r="F245" s="13">
        <v>1</v>
      </c>
      <c r="G245" s="13">
        <f t="shared" si="9"/>
        <v>0</v>
      </c>
      <c r="H245" s="13">
        <v>281</v>
      </c>
      <c r="I245" s="14">
        <f t="shared" si="10"/>
        <v>-280.99452054794523</v>
      </c>
      <c r="J245" s="15" t="s">
        <v>567</v>
      </c>
      <c r="K245" s="10" t="s">
        <v>568</v>
      </c>
      <c r="L245" s="16">
        <v>72</v>
      </c>
      <c r="M245" s="16">
        <f>1000/L245</f>
        <v>13.888888888888889</v>
      </c>
      <c r="N245" s="16">
        <f>8.33*M245</f>
        <v>115.69444444444444</v>
      </c>
      <c r="O245" s="16">
        <f>1.613*N245</f>
        <v>186.61513888888888</v>
      </c>
      <c r="P245" s="1">
        <v>72</v>
      </c>
      <c r="Q245" s="9">
        <v>72</v>
      </c>
      <c r="R245" s="8">
        <f>1000/Q245</f>
        <v>13.888888888888889</v>
      </c>
      <c r="S245" s="8">
        <f>8.33*R245</f>
        <v>115.69444444444444</v>
      </c>
      <c r="T245" s="8">
        <f>S245*1.33</f>
        <v>153.87361111111113</v>
      </c>
      <c r="U245" s="1">
        <v>270</v>
      </c>
      <c r="V245" s="9">
        <v>270</v>
      </c>
      <c r="W245" s="8">
        <f>1000/V245</f>
        <v>3.7037037037037037</v>
      </c>
      <c r="X245" s="8">
        <f>8.33*W245</f>
        <v>30.851851851851851</v>
      </c>
      <c r="Y245" s="1">
        <v>24</v>
      </c>
      <c r="Z245" s="9">
        <v>24</v>
      </c>
      <c r="AA245" s="8">
        <f>1000/Z245</f>
        <v>41.666666666666664</v>
      </c>
      <c r="AB245" s="8">
        <f>8.33*AA245</f>
        <v>347.08333333333331</v>
      </c>
      <c r="AC245" s="1">
        <v>24</v>
      </c>
      <c r="AD245" s="9">
        <v>24</v>
      </c>
      <c r="AE245" s="8">
        <f>1000/AD245</f>
        <v>41.666666666666664</v>
      </c>
      <c r="AF245" s="8">
        <f>8.33*AE245</f>
        <v>347.08333333333331</v>
      </c>
      <c r="AG245" s="1" t="s">
        <v>82</v>
      </c>
      <c r="AH245" s="9"/>
    </row>
    <row r="246" spans="1:36" x14ac:dyDescent="0.2">
      <c r="A246">
        <v>-278</v>
      </c>
      <c r="B246" s="10" t="s">
        <v>36</v>
      </c>
      <c r="D246" s="15" t="s">
        <v>569</v>
      </c>
      <c r="E246" s="13">
        <v>1</v>
      </c>
      <c r="F246" s="13">
        <v>12</v>
      </c>
      <c r="G246" s="13">
        <f t="shared" si="9"/>
        <v>334</v>
      </c>
      <c r="H246" s="13">
        <v>279</v>
      </c>
      <c r="I246" s="14">
        <f t="shared" si="10"/>
        <v>-278.08219178082192</v>
      </c>
      <c r="J246" s="15" t="s">
        <v>570</v>
      </c>
      <c r="P246" t="s">
        <v>571</v>
      </c>
      <c r="T246" s="8"/>
      <c r="U246" s="1">
        <v>135</v>
      </c>
      <c r="V246" s="9">
        <v>135</v>
      </c>
      <c r="W246" s="8">
        <f>1000/V246</f>
        <v>7.4074074074074074</v>
      </c>
      <c r="X246" s="8">
        <f>8.33*W246</f>
        <v>61.703703703703702</v>
      </c>
      <c r="Y246" t="s">
        <v>41</v>
      </c>
      <c r="AA246" s="8"/>
      <c r="AB246" s="8"/>
      <c r="AC246" s="1">
        <v>12</v>
      </c>
      <c r="AD246" s="9">
        <v>12</v>
      </c>
      <c r="AE246" s="8">
        <f>1000/AD246</f>
        <v>83.333333333333329</v>
      </c>
      <c r="AF246" s="8">
        <f>8.33*AE246</f>
        <v>694.16666666666663</v>
      </c>
      <c r="AG246" s="1">
        <v>3</v>
      </c>
      <c r="AH246" s="9">
        <v>3</v>
      </c>
      <c r="AI246" s="8">
        <f>1/AH246</f>
        <v>0.33333333333333331</v>
      </c>
      <c r="AJ246" s="8">
        <f>8.33*AI246</f>
        <v>2.7766666666666664</v>
      </c>
    </row>
    <row r="247" spans="1:36" x14ac:dyDescent="0.2">
      <c r="A247">
        <v>-278</v>
      </c>
      <c r="B247" s="10" t="s">
        <v>75</v>
      </c>
      <c r="D247" s="15" t="s">
        <v>572</v>
      </c>
      <c r="E247" s="13">
        <v>31</v>
      </c>
      <c r="F247" s="13">
        <v>12</v>
      </c>
      <c r="G247" s="13">
        <f t="shared" si="9"/>
        <v>334</v>
      </c>
      <c r="H247" s="13">
        <v>279</v>
      </c>
      <c r="I247" s="14">
        <f t="shared" si="10"/>
        <v>-278</v>
      </c>
      <c r="J247" s="15" t="s">
        <v>573</v>
      </c>
      <c r="T247" s="8"/>
      <c r="U247" s="1">
        <v>120</v>
      </c>
      <c r="V247" s="9">
        <v>120</v>
      </c>
      <c r="W247" s="8">
        <f>1000/V247</f>
        <v>8.3333333333333339</v>
      </c>
      <c r="X247" s="8">
        <f>8.33*W247</f>
        <v>69.416666666666671</v>
      </c>
      <c r="Y247" s="1">
        <v>42</v>
      </c>
      <c r="Z247" s="9">
        <v>42</v>
      </c>
      <c r="AA247" s="8">
        <f>1000/Z247</f>
        <v>23.80952380952381</v>
      </c>
      <c r="AB247" s="8">
        <f>8.33*AA247</f>
        <v>198.33333333333334</v>
      </c>
      <c r="AC247" t="s">
        <v>41</v>
      </c>
      <c r="AG247" s="1">
        <v>3</v>
      </c>
      <c r="AH247" s="9">
        <v>3</v>
      </c>
      <c r="AI247" s="8">
        <f>1/AH247</f>
        <v>0.33333333333333331</v>
      </c>
      <c r="AJ247" s="8">
        <f>8.33*AI247</f>
        <v>2.7766666666666664</v>
      </c>
    </row>
    <row r="248" spans="1:36" x14ac:dyDescent="0.2">
      <c r="A248">
        <v>-278</v>
      </c>
      <c r="B248" s="10" t="s">
        <v>83</v>
      </c>
      <c r="D248" s="15" t="s">
        <v>574</v>
      </c>
      <c r="E248" s="13">
        <v>29</v>
      </c>
      <c r="F248" s="13">
        <v>1</v>
      </c>
      <c r="G248" s="13">
        <f t="shared" si="9"/>
        <v>0</v>
      </c>
      <c r="H248" s="13">
        <v>278</v>
      </c>
      <c r="I248" s="14">
        <f t="shared" si="10"/>
        <v>-277.9205479452055</v>
      </c>
      <c r="J248" s="15" t="s">
        <v>575</v>
      </c>
      <c r="K248" s="2">
        <v>156</v>
      </c>
      <c r="L248" s="8">
        <v>156</v>
      </c>
      <c r="M248" s="8">
        <f>1000/L248</f>
        <v>6.4102564102564106</v>
      </c>
      <c r="N248" s="8">
        <f>8.33*M248</f>
        <v>53.397435897435898</v>
      </c>
      <c r="O248" s="8">
        <f>1.613*N248</f>
        <v>86.130064102564106</v>
      </c>
      <c r="P248" t="s">
        <v>576</v>
      </c>
      <c r="Q248" s="20">
        <v>72</v>
      </c>
      <c r="R248" s="16">
        <f>1000/Q248</f>
        <v>13.888888888888889</v>
      </c>
      <c r="S248" s="16">
        <f>8.33*R248</f>
        <v>115.69444444444444</v>
      </c>
      <c r="T248" s="16">
        <f>S248*1.33</f>
        <v>153.87361111111113</v>
      </c>
    </row>
    <row r="249" spans="1:36" x14ac:dyDescent="0.2">
      <c r="A249">
        <v>-277</v>
      </c>
      <c r="B249" s="10" t="s">
        <v>60</v>
      </c>
      <c r="D249" s="15" t="s">
        <v>577</v>
      </c>
      <c r="E249" s="13">
        <v>29</v>
      </c>
      <c r="F249" s="13">
        <v>3</v>
      </c>
      <c r="G249" s="13">
        <f t="shared" si="9"/>
        <v>59</v>
      </c>
      <c r="H249" s="13">
        <v>278</v>
      </c>
      <c r="I249" s="14">
        <f t="shared" si="10"/>
        <v>-277.75890410958903</v>
      </c>
      <c r="J249" s="15" t="s">
        <v>578</v>
      </c>
      <c r="K249" s="2">
        <v>198</v>
      </c>
      <c r="L249" s="8">
        <v>198</v>
      </c>
      <c r="M249" s="8">
        <f>1000/L249</f>
        <v>5.0505050505050502</v>
      </c>
      <c r="N249" s="8">
        <f>8.33*M249</f>
        <v>42.070707070707066</v>
      </c>
      <c r="O249" s="8">
        <f>1.613*N249</f>
        <v>67.860050505050495</v>
      </c>
      <c r="P249">
        <v>99</v>
      </c>
      <c r="Q249" s="17">
        <v>99</v>
      </c>
      <c r="R249" s="16">
        <f>1000/Q249</f>
        <v>10.1010101010101</v>
      </c>
      <c r="S249" s="16">
        <f>8.33*R249</f>
        <v>84.141414141414131</v>
      </c>
      <c r="T249" s="16">
        <f>S249*1.33</f>
        <v>111.9080808080808</v>
      </c>
    </row>
    <row r="250" spans="1:36" x14ac:dyDescent="0.2">
      <c r="A250">
        <v>-277</v>
      </c>
      <c r="B250" s="10" t="s">
        <v>47</v>
      </c>
      <c r="D250" s="15" t="s">
        <v>579</v>
      </c>
      <c r="E250" s="13">
        <v>27</v>
      </c>
      <c r="F250" s="13">
        <v>4</v>
      </c>
      <c r="G250" s="13">
        <f t="shared" si="9"/>
        <v>90</v>
      </c>
      <c r="H250" s="13">
        <v>278</v>
      </c>
      <c r="I250" s="14">
        <f t="shared" si="10"/>
        <v>-277.67945205479452</v>
      </c>
      <c r="J250" s="15" t="s">
        <v>580</v>
      </c>
      <c r="K250" s="2">
        <v>198</v>
      </c>
      <c r="L250" s="8">
        <v>198</v>
      </c>
      <c r="M250" s="8">
        <f>1000/L250</f>
        <v>5.0505050505050502</v>
      </c>
      <c r="N250" s="8">
        <f>8.33*M250</f>
        <v>42.070707070707066</v>
      </c>
      <c r="O250" s="8">
        <f>1.613*N250</f>
        <v>67.860050505050495</v>
      </c>
      <c r="P250" t="s">
        <v>581</v>
      </c>
      <c r="Q250" s="20">
        <v>87</v>
      </c>
      <c r="R250" s="19">
        <f>1000/Q250</f>
        <v>11.494252873563218</v>
      </c>
      <c r="S250" s="19">
        <f>8.33*R250</f>
        <v>95.747126436781599</v>
      </c>
      <c r="T250" s="19">
        <f>S250*1.33</f>
        <v>127.34367816091954</v>
      </c>
    </row>
    <row r="251" spans="1:36" x14ac:dyDescent="0.2">
      <c r="A251">
        <v>-277</v>
      </c>
      <c r="B251" s="10" t="s">
        <v>65</v>
      </c>
      <c r="D251" s="15" t="s">
        <v>582</v>
      </c>
      <c r="E251" s="13">
        <v>27</v>
      </c>
      <c r="F251" s="13">
        <v>5</v>
      </c>
      <c r="G251" s="13">
        <f t="shared" si="9"/>
        <v>120</v>
      </c>
      <c r="H251" s="13">
        <v>278</v>
      </c>
      <c r="I251" s="14">
        <f t="shared" si="10"/>
        <v>-277.59726027397261</v>
      </c>
      <c r="J251" s="15" t="s">
        <v>583</v>
      </c>
      <c r="K251" s="10" t="s">
        <v>41</v>
      </c>
      <c r="T251" s="8"/>
    </row>
    <row r="252" spans="1:36" x14ac:dyDescent="0.2">
      <c r="A252">
        <v>-277</v>
      </c>
      <c r="B252" s="10" t="s">
        <v>130</v>
      </c>
      <c r="D252" s="15" t="s">
        <v>584</v>
      </c>
      <c r="E252" s="13">
        <v>25</v>
      </c>
      <c r="F252" s="13">
        <v>6</v>
      </c>
      <c r="G252" s="13">
        <f t="shared" si="9"/>
        <v>151</v>
      </c>
      <c r="H252" s="13">
        <v>278</v>
      </c>
      <c r="I252" s="14">
        <f t="shared" si="10"/>
        <v>-277.51780821917811</v>
      </c>
      <c r="J252" s="15" t="s">
        <v>585</v>
      </c>
      <c r="P252" t="s">
        <v>82</v>
      </c>
      <c r="T252" s="8"/>
      <c r="U252" t="s">
        <v>41</v>
      </c>
      <c r="Y252" s="1">
        <v>72</v>
      </c>
      <c r="Z252" s="9">
        <v>72</v>
      </c>
      <c r="AA252" s="8">
        <f>1000/Z252</f>
        <v>13.888888888888889</v>
      </c>
      <c r="AB252" s="8">
        <f>8.33*AA252</f>
        <v>115.69444444444444</v>
      </c>
      <c r="AC252" s="1">
        <v>15</v>
      </c>
      <c r="AD252" s="9">
        <v>15</v>
      </c>
      <c r="AE252" s="8">
        <f>1000/AD252</f>
        <v>66.666666666666671</v>
      </c>
      <c r="AF252" s="8">
        <f>8.33*AE252</f>
        <v>555.33333333333337</v>
      </c>
      <c r="AG252" t="s">
        <v>82</v>
      </c>
    </row>
    <row r="253" spans="1:36" x14ac:dyDescent="0.2">
      <c r="A253">
        <v>-277</v>
      </c>
      <c r="B253" s="10" t="s">
        <v>285</v>
      </c>
      <c r="D253" s="15" t="s">
        <v>586</v>
      </c>
      <c r="E253" s="13">
        <v>25</v>
      </c>
      <c r="F253" s="13">
        <v>7</v>
      </c>
      <c r="G253" s="13">
        <f t="shared" si="9"/>
        <v>181</v>
      </c>
      <c r="H253" s="13">
        <v>278</v>
      </c>
      <c r="I253" s="14">
        <f t="shared" si="10"/>
        <v>-277.43561643835619</v>
      </c>
      <c r="J253" s="15" t="s">
        <v>587</v>
      </c>
      <c r="T253" s="8"/>
      <c r="U253" t="s">
        <v>41</v>
      </c>
      <c r="Y253" s="1">
        <v>60</v>
      </c>
      <c r="Z253" s="9">
        <v>60</v>
      </c>
      <c r="AA253" s="8">
        <f>1000/Z253</f>
        <v>16.666666666666668</v>
      </c>
      <c r="AB253" s="8">
        <f>8.33*AA253</f>
        <v>138.83333333333334</v>
      </c>
      <c r="AC253" s="1">
        <v>24</v>
      </c>
      <c r="AD253" s="9">
        <v>24</v>
      </c>
      <c r="AE253" s="8">
        <f>1000/AD253</f>
        <v>41.666666666666664</v>
      </c>
      <c r="AF253" s="8">
        <f>8.33*AE253</f>
        <v>347.08333333333331</v>
      </c>
      <c r="AG253" s="1">
        <v>3</v>
      </c>
      <c r="AH253" s="9">
        <v>3</v>
      </c>
      <c r="AI253" s="8">
        <f>1/AH253</f>
        <v>0.33333333333333331</v>
      </c>
      <c r="AJ253" s="8">
        <f>8.33*AI253</f>
        <v>2.7766666666666664</v>
      </c>
    </row>
    <row r="254" spans="1:36" x14ac:dyDescent="0.2">
      <c r="A254">
        <v>-277</v>
      </c>
      <c r="B254" s="10" t="s">
        <v>72</v>
      </c>
      <c r="D254" s="15" t="s">
        <v>588</v>
      </c>
      <c r="E254" s="13">
        <v>24</v>
      </c>
      <c r="F254" s="13">
        <v>8</v>
      </c>
      <c r="G254" s="13">
        <f t="shared" si="9"/>
        <v>212</v>
      </c>
      <c r="H254" s="13">
        <v>278</v>
      </c>
      <c r="I254" s="14">
        <f t="shared" si="10"/>
        <v>-277.35342465753422</v>
      </c>
      <c r="J254" s="15" t="s">
        <v>589</v>
      </c>
      <c r="K254" s="10" t="s">
        <v>590</v>
      </c>
      <c r="L254" s="19">
        <v>264</v>
      </c>
      <c r="M254" s="19">
        <f>1000/L254</f>
        <v>3.7878787878787881</v>
      </c>
      <c r="N254" s="19">
        <f>8.33*M254</f>
        <v>31.553030303030305</v>
      </c>
      <c r="O254" s="19">
        <f>1.613*N254</f>
        <v>50.895037878787882</v>
      </c>
      <c r="P254" s="1">
        <v>120</v>
      </c>
      <c r="Q254" s="9">
        <v>120</v>
      </c>
      <c r="R254" s="8">
        <f>1000/Q254</f>
        <v>8.3333333333333339</v>
      </c>
      <c r="S254" s="8">
        <f>8.33*R254</f>
        <v>69.416666666666671</v>
      </c>
      <c r="T254" s="8">
        <f>S254*1.33</f>
        <v>92.324166666666684</v>
      </c>
      <c r="U254" s="1">
        <v>180</v>
      </c>
      <c r="V254" s="9">
        <v>180</v>
      </c>
      <c r="W254" s="8">
        <f>1000/V254</f>
        <v>5.5555555555555554</v>
      </c>
      <c r="X254" s="8">
        <f>8.33*W254</f>
        <v>46.277777777777779</v>
      </c>
      <c r="Y254" s="1">
        <v>60</v>
      </c>
      <c r="Z254" s="9">
        <v>60</v>
      </c>
      <c r="AA254" s="8">
        <f>1000/Z254</f>
        <v>16.666666666666668</v>
      </c>
      <c r="AB254" s="8">
        <f>8.33*AA254</f>
        <v>138.83333333333334</v>
      </c>
      <c r="AC254" s="1">
        <v>30</v>
      </c>
      <c r="AD254" s="9">
        <v>30</v>
      </c>
      <c r="AE254" s="8">
        <f>1000/AD254</f>
        <v>33.333333333333336</v>
      </c>
      <c r="AF254" s="8">
        <f>8.33*AE254</f>
        <v>277.66666666666669</v>
      </c>
      <c r="AG254" s="1">
        <v>3</v>
      </c>
      <c r="AH254" s="9">
        <v>3</v>
      </c>
      <c r="AI254" s="8">
        <f>1/AH254</f>
        <v>0.33333333333333331</v>
      </c>
      <c r="AJ254" s="8">
        <f>8.33*AI254</f>
        <v>2.7766666666666664</v>
      </c>
    </row>
    <row r="255" spans="1:36" x14ac:dyDescent="0.2">
      <c r="A255">
        <v>-277</v>
      </c>
      <c r="B255" s="10" t="s">
        <v>91</v>
      </c>
      <c r="D255" s="15" t="s">
        <v>591</v>
      </c>
      <c r="E255" s="13">
        <v>23</v>
      </c>
      <c r="F255" s="13">
        <v>9</v>
      </c>
      <c r="G255" s="13">
        <f t="shared" si="9"/>
        <v>243</v>
      </c>
      <c r="H255" s="13">
        <v>278</v>
      </c>
      <c r="I255" s="14">
        <f t="shared" si="10"/>
        <v>-277.2712328767123</v>
      </c>
      <c r="J255" s="15" t="s">
        <v>592</v>
      </c>
      <c r="K255" s="2">
        <v>270</v>
      </c>
      <c r="L255" s="8">
        <v>270</v>
      </c>
      <c r="M255" s="8">
        <f>1000/L255</f>
        <v>3.7037037037037037</v>
      </c>
      <c r="N255" s="8">
        <f>8.33*M255</f>
        <v>30.851851851851851</v>
      </c>
      <c r="O255" s="8">
        <f>1.613*N255</f>
        <v>49.764037037037035</v>
      </c>
      <c r="P255" s="1">
        <v>108</v>
      </c>
      <c r="Q255" s="9">
        <v>108</v>
      </c>
      <c r="R255" s="8">
        <f>1000/Q255</f>
        <v>9.2592592592592595</v>
      </c>
      <c r="S255" s="8">
        <f>8.33*R255</f>
        <v>77.129629629629633</v>
      </c>
      <c r="T255" s="8">
        <f>S255*1.33</f>
        <v>102.58240740740742</v>
      </c>
      <c r="U255" s="1">
        <v>270</v>
      </c>
      <c r="V255" s="9">
        <v>270</v>
      </c>
      <c r="W255" s="8">
        <f>1000/V255</f>
        <v>3.7037037037037037</v>
      </c>
      <c r="X255" s="8">
        <f>8.33*W255</f>
        <v>30.851851851851851</v>
      </c>
      <c r="Y255" s="1" t="s">
        <v>593</v>
      </c>
      <c r="Z255" s="21">
        <v>66</v>
      </c>
      <c r="AA255" s="22">
        <f>1000/Z255</f>
        <v>15.151515151515152</v>
      </c>
      <c r="AB255" s="22">
        <f>8.33*AA255</f>
        <v>126.21212121212122</v>
      </c>
      <c r="AC255" s="1">
        <v>36</v>
      </c>
      <c r="AD255" s="9">
        <v>36</v>
      </c>
      <c r="AE255" s="8">
        <f>1000/AD255</f>
        <v>27.777777777777779</v>
      </c>
      <c r="AF255" s="8">
        <f>8.33*AE255</f>
        <v>231.38888888888889</v>
      </c>
      <c r="AG255" s="1">
        <v>3</v>
      </c>
      <c r="AH255" s="9">
        <v>3</v>
      </c>
      <c r="AI255" s="8">
        <f>1/AH255</f>
        <v>0.33333333333333331</v>
      </c>
      <c r="AJ255" s="8">
        <f>8.33*AI255</f>
        <v>2.7766666666666664</v>
      </c>
    </row>
    <row r="256" spans="1:36" x14ac:dyDescent="0.2">
      <c r="A256">
        <v>-277</v>
      </c>
      <c r="B256" s="10" t="s">
        <v>94</v>
      </c>
      <c r="D256" s="15" t="s">
        <v>594</v>
      </c>
      <c r="E256" s="13">
        <v>22</v>
      </c>
      <c r="F256" s="13">
        <v>10</v>
      </c>
      <c r="G256" s="13">
        <f t="shared" si="9"/>
        <v>273</v>
      </c>
      <c r="H256" s="13">
        <v>278</v>
      </c>
      <c r="I256" s="14">
        <f t="shared" si="10"/>
        <v>-277.1917808219178</v>
      </c>
      <c r="J256" s="15" t="s">
        <v>595</v>
      </c>
      <c r="M256" s="8"/>
      <c r="R256" s="8"/>
      <c r="S256" s="8"/>
      <c r="T256" s="8"/>
      <c r="U256" s="1">
        <v>270</v>
      </c>
      <c r="V256" s="9">
        <v>270</v>
      </c>
      <c r="W256" s="8">
        <f>1000/V256</f>
        <v>3.7037037037037037</v>
      </c>
      <c r="X256" s="8">
        <f>8.33*W256</f>
        <v>30.851851851851851</v>
      </c>
      <c r="Y256" t="s">
        <v>596</v>
      </c>
      <c r="Z256" s="20">
        <v>66</v>
      </c>
      <c r="AA256" s="19">
        <f>1000/Z256</f>
        <v>15.151515151515152</v>
      </c>
      <c r="AB256" s="19">
        <f>8.33*AA256</f>
        <v>126.21212121212122</v>
      </c>
    </row>
    <row r="257" spans="1:36" x14ac:dyDescent="0.2">
      <c r="A257">
        <v>-277</v>
      </c>
      <c r="B257" s="10" t="s">
        <v>36</v>
      </c>
      <c r="D257" s="15" t="s">
        <v>597</v>
      </c>
      <c r="E257" s="13">
        <v>21</v>
      </c>
      <c r="F257" s="13">
        <v>11</v>
      </c>
      <c r="G257" s="13">
        <f t="shared" si="9"/>
        <v>304</v>
      </c>
      <c r="H257" s="13">
        <v>278</v>
      </c>
      <c r="I257" s="14">
        <f t="shared" si="10"/>
        <v>-277.10958904109589</v>
      </c>
      <c r="J257" s="15" t="s">
        <v>598</v>
      </c>
      <c r="K257" s="2">
        <v>270</v>
      </c>
      <c r="L257" s="8">
        <v>270</v>
      </c>
      <c r="M257" s="8">
        <f>1000/L257</f>
        <v>3.7037037037037037</v>
      </c>
      <c r="N257" s="8">
        <f>8.33*M257</f>
        <v>30.851851851851851</v>
      </c>
      <c r="O257" s="8">
        <f>1.613*N257</f>
        <v>49.764037037037035</v>
      </c>
      <c r="P257" s="1">
        <v>120</v>
      </c>
      <c r="Q257" s="9">
        <v>120</v>
      </c>
      <c r="R257" s="8">
        <f>1000/Q257</f>
        <v>8.3333333333333339</v>
      </c>
      <c r="S257" s="8">
        <f>8.33*R257</f>
        <v>69.416666666666671</v>
      </c>
      <c r="T257" s="8">
        <f>S257*1.33</f>
        <v>92.324166666666684</v>
      </c>
      <c r="U257" s="1">
        <v>360</v>
      </c>
      <c r="V257" s="9">
        <v>360</v>
      </c>
      <c r="W257" s="8">
        <f>1000/V257</f>
        <v>2.7777777777777777</v>
      </c>
      <c r="X257" s="8">
        <f>8.33*W257</f>
        <v>23.138888888888889</v>
      </c>
      <c r="Y257" t="s">
        <v>41</v>
      </c>
    </row>
    <row r="258" spans="1:36" x14ac:dyDescent="0.2">
      <c r="A258">
        <v>-276</v>
      </c>
      <c r="B258" s="10" t="s">
        <v>83</v>
      </c>
      <c r="D258" s="15" t="s">
        <v>599</v>
      </c>
      <c r="E258" s="13">
        <v>6</v>
      </c>
      <c r="F258" s="13">
        <v>2</v>
      </c>
      <c r="G258" s="13">
        <f t="shared" ref="G258:G321" si="11">INDEX(A$1502:A$1513,F258)</f>
        <v>31</v>
      </c>
      <c r="H258" s="13">
        <v>276</v>
      </c>
      <c r="I258" s="14">
        <f t="shared" si="10"/>
        <v>-275.8986301369863</v>
      </c>
      <c r="J258" s="15" t="s">
        <v>600</v>
      </c>
      <c r="K258" s="2">
        <v>96</v>
      </c>
      <c r="L258" s="8">
        <v>96</v>
      </c>
      <c r="M258" s="8">
        <f>1000/L258</f>
        <v>10.416666666666666</v>
      </c>
      <c r="N258" s="8">
        <f>8.33*M258</f>
        <v>86.770833333333329</v>
      </c>
      <c r="O258" s="8">
        <f>1.613*N258</f>
        <v>139.96135416666667</v>
      </c>
      <c r="P258" s="1"/>
      <c r="Q258" s="9"/>
      <c r="T258" s="8"/>
      <c r="U258" s="1"/>
      <c r="V258" s="9"/>
    </row>
    <row r="259" spans="1:36" x14ac:dyDescent="0.2">
      <c r="A259">
        <v>-276</v>
      </c>
      <c r="B259" s="10" t="s">
        <v>83</v>
      </c>
      <c r="C259" s="11" t="s">
        <v>39</v>
      </c>
      <c r="D259" s="15" t="s">
        <v>599</v>
      </c>
      <c r="E259" s="13">
        <v>6</v>
      </c>
      <c r="F259" s="13">
        <v>2</v>
      </c>
      <c r="G259" s="13">
        <f t="shared" si="11"/>
        <v>31</v>
      </c>
      <c r="H259" s="13">
        <v>276</v>
      </c>
      <c r="I259" s="14">
        <f t="shared" ref="I259:I322" si="12">($E259+$G259)/365-$H259</f>
        <v>-275.8986301369863</v>
      </c>
      <c r="J259" s="15" t="s">
        <v>601</v>
      </c>
      <c r="P259">
        <v>72</v>
      </c>
      <c r="Q259" s="17">
        <v>72</v>
      </c>
      <c r="R259" s="16">
        <f>1000/Q259</f>
        <v>13.888888888888889</v>
      </c>
      <c r="S259" s="16">
        <f>8.33*R259</f>
        <v>115.69444444444444</v>
      </c>
      <c r="T259" s="16">
        <f>S259*1.33</f>
        <v>153.87361111111113</v>
      </c>
      <c r="U259" t="s">
        <v>41</v>
      </c>
    </row>
    <row r="260" spans="1:36" x14ac:dyDescent="0.2">
      <c r="A260">
        <v>-276</v>
      </c>
      <c r="B260" s="10" t="s">
        <v>83</v>
      </c>
      <c r="C260" s="11" t="s">
        <v>42</v>
      </c>
      <c r="D260" s="15" t="s">
        <v>602</v>
      </c>
      <c r="E260" s="13">
        <v>16</v>
      </c>
      <c r="F260" s="13">
        <v>2</v>
      </c>
      <c r="G260" s="13">
        <f t="shared" si="11"/>
        <v>31</v>
      </c>
      <c r="H260" s="13">
        <v>276</v>
      </c>
      <c r="I260" s="14">
        <f t="shared" si="12"/>
        <v>-275.87123287671233</v>
      </c>
      <c r="J260" s="15" t="s">
        <v>603</v>
      </c>
      <c r="P260">
        <v>60</v>
      </c>
      <c r="Q260" s="17">
        <v>60</v>
      </c>
      <c r="R260" s="16">
        <f>1000/Q260</f>
        <v>16.666666666666668</v>
      </c>
      <c r="S260" s="16">
        <f>8.33*R260</f>
        <v>138.83333333333334</v>
      </c>
      <c r="T260" s="16">
        <f>S260*1.33</f>
        <v>184.64833333333337</v>
      </c>
    </row>
    <row r="261" spans="1:36" x14ac:dyDescent="0.2">
      <c r="A261">
        <v>-276</v>
      </c>
      <c r="B261" s="10" t="s">
        <v>83</v>
      </c>
      <c r="C261" s="11" t="s">
        <v>45</v>
      </c>
      <c r="D261" s="15" t="s">
        <v>604</v>
      </c>
      <c r="E261" s="13">
        <v>26</v>
      </c>
      <c r="F261" s="13">
        <v>2</v>
      </c>
      <c r="G261" s="13">
        <f t="shared" si="11"/>
        <v>31</v>
      </c>
      <c r="H261" s="13">
        <v>276</v>
      </c>
      <c r="I261" s="14">
        <f t="shared" si="12"/>
        <v>-275.84383561643835</v>
      </c>
      <c r="J261" s="15" t="s">
        <v>600</v>
      </c>
    </row>
    <row r="262" spans="1:36" x14ac:dyDescent="0.2">
      <c r="A262">
        <v>-273</v>
      </c>
      <c r="B262" s="10" t="s">
        <v>72</v>
      </c>
      <c r="D262" s="15" t="s">
        <v>605</v>
      </c>
      <c r="E262" s="13">
        <v>8</v>
      </c>
      <c r="F262" s="13">
        <v>9</v>
      </c>
      <c r="G262" s="13">
        <f t="shared" si="11"/>
        <v>243</v>
      </c>
      <c r="H262" s="13">
        <v>274</v>
      </c>
      <c r="I262" s="14">
        <f t="shared" si="12"/>
        <v>-273.31232876712329</v>
      </c>
      <c r="J262" s="15" t="s">
        <v>606</v>
      </c>
      <c r="R262" s="8"/>
      <c r="S262" s="8"/>
      <c r="U262" s="18" t="s">
        <v>41</v>
      </c>
      <c r="V262" s="9"/>
      <c r="W262" s="8"/>
      <c r="X262" s="8"/>
      <c r="Y262" s="1">
        <v>15</v>
      </c>
      <c r="Z262" s="9">
        <v>15</v>
      </c>
      <c r="AA262" s="8">
        <f>1000/Z262</f>
        <v>66.666666666666671</v>
      </c>
      <c r="AB262" s="8">
        <f>8.33*AA262</f>
        <v>555.33333333333337</v>
      </c>
      <c r="AC262" s="18" t="s">
        <v>41</v>
      </c>
      <c r="AD262" s="9"/>
      <c r="AE262" s="8"/>
      <c r="AF262" s="8"/>
    </row>
    <row r="263" spans="1:36" x14ac:dyDescent="0.2">
      <c r="A263">
        <v>-273</v>
      </c>
      <c r="B263" s="10" t="s">
        <v>91</v>
      </c>
      <c r="D263" s="15" t="s">
        <v>607</v>
      </c>
      <c r="E263" s="13">
        <v>7</v>
      </c>
      <c r="F263" s="13">
        <v>10</v>
      </c>
      <c r="G263" s="13">
        <f t="shared" si="11"/>
        <v>273</v>
      </c>
      <c r="H263" s="13">
        <v>274</v>
      </c>
      <c r="I263" s="14">
        <f t="shared" si="12"/>
        <v>-273.23287671232879</v>
      </c>
      <c r="J263" s="15" t="s">
        <v>608</v>
      </c>
      <c r="K263" s="2">
        <v>36</v>
      </c>
      <c r="L263" s="8">
        <v>36</v>
      </c>
      <c r="M263" s="8">
        <f>1000/L263</f>
        <v>27.777777777777779</v>
      </c>
      <c r="N263" s="8">
        <f>8.33*M263</f>
        <v>231.38888888888889</v>
      </c>
      <c r="O263" s="8">
        <f>1.613*N263</f>
        <v>373.23027777777776</v>
      </c>
      <c r="P263" s="1">
        <v>72</v>
      </c>
      <c r="Q263" s="9">
        <v>72</v>
      </c>
      <c r="R263" s="8">
        <f>1000/Q263</f>
        <v>13.888888888888889</v>
      </c>
      <c r="S263" s="8">
        <f>8.33*R263</f>
        <v>115.69444444444444</v>
      </c>
      <c r="T263" s="8">
        <f>S263*1.33</f>
        <v>153.87361111111113</v>
      </c>
      <c r="U263" s="1" t="s">
        <v>609</v>
      </c>
      <c r="V263" s="9">
        <v>120</v>
      </c>
      <c r="W263" s="8">
        <f>1000/V263</f>
        <v>8.3333333333333339</v>
      </c>
      <c r="X263" s="8">
        <f>8.33*W263</f>
        <v>69.416666666666671</v>
      </c>
      <c r="Y263" s="1">
        <v>8</v>
      </c>
      <c r="Z263" s="9">
        <v>8</v>
      </c>
      <c r="AA263" s="8">
        <f>1000/Z263</f>
        <v>125</v>
      </c>
      <c r="AB263" s="8">
        <f>8.33*AA263</f>
        <v>1041.25</v>
      </c>
      <c r="AC263" s="1">
        <v>21</v>
      </c>
      <c r="AD263" s="9">
        <v>21</v>
      </c>
      <c r="AE263" s="8">
        <f>1000/AD263</f>
        <v>47.61904761904762</v>
      </c>
      <c r="AF263" s="8">
        <f>8.33*AE263</f>
        <v>396.66666666666669</v>
      </c>
      <c r="AG263" s="1">
        <v>5</v>
      </c>
      <c r="AH263" s="9">
        <v>5</v>
      </c>
      <c r="AI263" s="8">
        <f>1/AH263</f>
        <v>0.2</v>
      </c>
      <c r="AJ263" s="8">
        <f>8.33*AI263</f>
        <v>1.6660000000000001</v>
      </c>
    </row>
    <row r="264" spans="1:36" x14ac:dyDescent="0.2">
      <c r="A264">
        <v>-273</v>
      </c>
      <c r="B264" s="10" t="s">
        <v>94</v>
      </c>
      <c r="D264" s="15" t="s">
        <v>610</v>
      </c>
      <c r="E264" s="13">
        <v>5</v>
      </c>
      <c r="F264" s="13">
        <v>11</v>
      </c>
      <c r="G264" s="13">
        <f t="shared" si="11"/>
        <v>304</v>
      </c>
      <c r="H264" s="13">
        <v>274</v>
      </c>
      <c r="I264" s="14">
        <f t="shared" si="12"/>
        <v>-273.15342465753423</v>
      </c>
      <c r="J264" s="15" t="s">
        <v>611</v>
      </c>
      <c r="R264" s="8"/>
      <c r="S264" s="8"/>
      <c r="U264" s="1"/>
      <c r="V264" s="9"/>
      <c r="W264" s="8"/>
      <c r="X264" s="8"/>
      <c r="Y264" s="1"/>
      <c r="Z264" s="9"/>
      <c r="AA264" s="8"/>
      <c r="AB264" s="8"/>
      <c r="AC264" s="1"/>
      <c r="AD264" s="9"/>
      <c r="AE264" s="8"/>
      <c r="AF264" s="8"/>
      <c r="AG264" s="1" t="s">
        <v>612</v>
      </c>
      <c r="AH264" s="21">
        <v>5</v>
      </c>
      <c r="AI264" s="22">
        <f>1/AH264</f>
        <v>0.2</v>
      </c>
      <c r="AJ264" s="22">
        <f>8.33*AI264</f>
        <v>1.6660000000000001</v>
      </c>
    </row>
    <row r="265" spans="1:36" x14ac:dyDescent="0.2">
      <c r="A265">
        <v>-273</v>
      </c>
      <c r="B265" s="10" t="s">
        <v>83</v>
      </c>
      <c r="D265" s="15" t="s">
        <v>613</v>
      </c>
      <c r="E265" s="13">
        <v>3</v>
      </c>
      <c r="F265" s="13">
        <v>2</v>
      </c>
      <c r="G265" s="13">
        <f t="shared" si="11"/>
        <v>31</v>
      </c>
      <c r="H265" s="13">
        <v>273</v>
      </c>
      <c r="I265" s="14">
        <f t="shared" si="12"/>
        <v>-272.90684931506848</v>
      </c>
      <c r="J265" s="15" t="s">
        <v>614</v>
      </c>
      <c r="R265" s="8"/>
      <c r="S265" s="8"/>
      <c r="U265" s="1"/>
      <c r="V265" s="9"/>
      <c r="W265" s="8"/>
      <c r="X265" s="8"/>
      <c r="Y265" s="1">
        <v>8</v>
      </c>
      <c r="Z265" s="9">
        <v>8</v>
      </c>
      <c r="AA265" s="8">
        <f>1000/Z265</f>
        <v>125</v>
      </c>
      <c r="AB265" s="8">
        <f>8.33*AA265</f>
        <v>1041.25</v>
      </c>
      <c r="AC265" s="1">
        <v>15</v>
      </c>
      <c r="AD265" s="9">
        <v>15</v>
      </c>
      <c r="AE265" s="8">
        <f>1000/AD265</f>
        <v>66.666666666666671</v>
      </c>
      <c r="AF265" s="8">
        <f>8.33*AE265</f>
        <v>555.33333333333337</v>
      </c>
      <c r="AG265" s="1">
        <v>4</v>
      </c>
      <c r="AH265" s="9">
        <v>4</v>
      </c>
      <c r="AI265" s="8">
        <f>1/AH265</f>
        <v>0.25</v>
      </c>
      <c r="AJ265" s="8">
        <f>8.33*AI265</f>
        <v>2.0825</v>
      </c>
    </row>
    <row r="266" spans="1:36" x14ac:dyDescent="0.2">
      <c r="A266">
        <v>-273</v>
      </c>
      <c r="B266" s="10" t="s">
        <v>127</v>
      </c>
      <c r="D266" s="15" t="s">
        <v>615</v>
      </c>
      <c r="E266" s="13">
        <v>3</v>
      </c>
      <c r="F266" s="13">
        <v>3</v>
      </c>
      <c r="G266" s="13">
        <f t="shared" si="11"/>
        <v>59</v>
      </c>
      <c r="H266" s="13">
        <v>273</v>
      </c>
      <c r="I266" s="14">
        <f t="shared" si="12"/>
        <v>-272.8301369863014</v>
      </c>
      <c r="J266" s="15" t="s">
        <v>616</v>
      </c>
      <c r="K266" s="2">
        <v>36</v>
      </c>
      <c r="L266" s="8">
        <v>36</v>
      </c>
      <c r="M266" s="8">
        <f>1000/L266</f>
        <v>27.777777777777779</v>
      </c>
      <c r="N266" s="8">
        <f>8.33*M266</f>
        <v>231.38888888888889</v>
      </c>
      <c r="O266" s="8">
        <f>1.613*N266</f>
        <v>373.23027777777776</v>
      </c>
      <c r="P266" s="1">
        <v>90</v>
      </c>
      <c r="Q266" s="9">
        <v>90</v>
      </c>
      <c r="R266" s="8">
        <f>1000/Q266</f>
        <v>11.111111111111111</v>
      </c>
      <c r="S266" s="8">
        <f>8.33*R266</f>
        <v>92.555555555555557</v>
      </c>
      <c r="T266" s="16">
        <f>S266*1.33</f>
        <v>123.09888888888889</v>
      </c>
      <c r="U266" s="1">
        <v>120</v>
      </c>
      <c r="V266" s="9">
        <v>120</v>
      </c>
      <c r="W266" s="8">
        <f>1000/V266</f>
        <v>8.3333333333333339</v>
      </c>
      <c r="X266" s="8">
        <f>8.33*W266</f>
        <v>69.416666666666671</v>
      </c>
      <c r="Y266" s="1">
        <v>8</v>
      </c>
      <c r="Z266" s="9">
        <v>8</v>
      </c>
      <c r="AA266" s="8">
        <f>1000/Z266</f>
        <v>125</v>
      </c>
      <c r="AB266" s="8">
        <f>8.33*AA266</f>
        <v>1041.25</v>
      </c>
      <c r="AC266" s="1">
        <v>15</v>
      </c>
      <c r="AD266" s="9">
        <v>15</v>
      </c>
      <c r="AE266" s="8">
        <f>1000/AD266</f>
        <v>66.666666666666671</v>
      </c>
      <c r="AF266" s="8">
        <f>8.33*AE266</f>
        <v>555.33333333333337</v>
      </c>
      <c r="AG266" s="1" t="s">
        <v>82</v>
      </c>
      <c r="AH266" s="9"/>
    </row>
    <row r="267" spans="1:36" x14ac:dyDescent="0.2">
      <c r="A267">
        <v>-270</v>
      </c>
      <c r="B267" s="10" t="s">
        <v>91</v>
      </c>
      <c r="D267" s="15" t="s">
        <v>617</v>
      </c>
      <c r="E267" s="13">
        <v>5</v>
      </c>
      <c r="F267" s="13">
        <v>10</v>
      </c>
      <c r="G267" s="13">
        <f t="shared" si="11"/>
        <v>273</v>
      </c>
      <c r="H267" s="13">
        <v>271</v>
      </c>
      <c r="I267" s="14">
        <f t="shared" si="12"/>
        <v>-270.23835616438356</v>
      </c>
      <c r="J267" s="15" t="s">
        <v>618</v>
      </c>
      <c r="K267" s="2"/>
      <c r="L267" s="8"/>
      <c r="P267" s="1"/>
      <c r="Q267" s="9"/>
      <c r="T267" s="8"/>
      <c r="U267" s="1"/>
      <c r="V267" s="9"/>
      <c r="Y267" s="1"/>
      <c r="Z267" s="9"/>
      <c r="AC267" s="1"/>
      <c r="AD267" s="9"/>
      <c r="AG267" s="1">
        <v>3</v>
      </c>
      <c r="AH267" s="9">
        <v>3</v>
      </c>
      <c r="AI267" s="8">
        <f>1/AH267</f>
        <v>0.33333333333333331</v>
      </c>
      <c r="AJ267" s="8">
        <f>8.33*AI267</f>
        <v>2.7766666666666664</v>
      </c>
    </row>
    <row r="268" spans="1:36" x14ac:dyDescent="0.2">
      <c r="A268">
        <v>-270</v>
      </c>
      <c r="B268" s="10" t="s">
        <v>120</v>
      </c>
      <c r="C268" s="11" t="s">
        <v>39</v>
      </c>
      <c r="D268" s="15" t="s">
        <v>617</v>
      </c>
      <c r="E268" s="13">
        <v>5</v>
      </c>
      <c r="F268" s="13">
        <v>10</v>
      </c>
      <c r="G268" s="13">
        <f t="shared" si="11"/>
        <v>273</v>
      </c>
      <c r="H268" s="13">
        <v>271</v>
      </c>
      <c r="I268" s="14">
        <f t="shared" si="12"/>
        <v>-270.23835616438356</v>
      </c>
      <c r="J268" s="15" t="s">
        <v>619</v>
      </c>
      <c r="K268" s="10" t="s">
        <v>41</v>
      </c>
      <c r="P268" t="s">
        <v>576</v>
      </c>
      <c r="Q268" s="20">
        <v>72</v>
      </c>
      <c r="R268" s="19">
        <f>1000/Q268</f>
        <v>13.888888888888889</v>
      </c>
      <c r="S268" s="19">
        <f>8.33*R268</f>
        <v>115.69444444444444</v>
      </c>
      <c r="T268" s="16">
        <f>S268*1.33</f>
        <v>153.87361111111113</v>
      </c>
    </row>
    <row r="269" spans="1:36" x14ac:dyDescent="0.2">
      <c r="A269">
        <v>-270</v>
      </c>
      <c r="B269" s="10" t="s">
        <v>120</v>
      </c>
      <c r="C269" s="11" t="s">
        <v>42</v>
      </c>
      <c r="D269" s="15" t="s">
        <v>620</v>
      </c>
      <c r="E269" s="13">
        <v>15</v>
      </c>
      <c r="F269" s="13">
        <v>10</v>
      </c>
      <c r="G269" s="13">
        <f t="shared" si="11"/>
        <v>273</v>
      </c>
      <c r="H269" s="13">
        <v>271</v>
      </c>
      <c r="I269" s="14">
        <f t="shared" si="12"/>
        <v>-270.21095890410959</v>
      </c>
      <c r="J269" s="15" t="s">
        <v>621</v>
      </c>
      <c r="Q269" s="20">
        <v>72</v>
      </c>
      <c r="R269" s="19">
        <v>13.89</v>
      </c>
      <c r="S269" s="19">
        <v>115.69</v>
      </c>
      <c r="T269" s="19">
        <f>S269*1.33</f>
        <v>153.86770000000001</v>
      </c>
    </row>
    <row r="270" spans="1:36" x14ac:dyDescent="0.2">
      <c r="A270">
        <v>-270</v>
      </c>
      <c r="B270" s="10" t="s">
        <v>120</v>
      </c>
      <c r="C270" s="11" t="s">
        <v>45</v>
      </c>
      <c r="D270" s="15" t="s">
        <v>622</v>
      </c>
      <c r="E270" s="13">
        <v>25</v>
      </c>
      <c r="F270" s="13">
        <v>10</v>
      </c>
      <c r="G270" s="13">
        <f t="shared" si="11"/>
        <v>273</v>
      </c>
      <c r="H270" s="13">
        <v>271</v>
      </c>
      <c r="I270" s="14">
        <f t="shared" si="12"/>
        <v>-270.18356164383562</v>
      </c>
      <c r="J270" s="15" t="s">
        <v>618</v>
      </c>
      <c r="K270" s="10">
        <v>102</v>
      </c>
      <c r="L270" s="16">
        <v>102</v>
      </c>
      <c r="M270" s="16">
        <f>1000/L270</f>
        <v>9.8039215686274517</v>
      </c>
      <c r="N270" s="16">
        <f>8.33*M270</f>
        <v>81.666666666666671</v>
      </c>
      <c r="O270" s="16">
        <f>1.613*N270</f>
        <v>131.72833333333335</v>
      </c>
      <c r="T270" s="8"/>
    </row>
    <row r="271" spans="1:36" x14ac:dyDescent="0.2">
      <c r="A271">
        <v>-270</v>
      </c>
      <c r="B271" s="10" t="s">
        <v>127</v>
      </c>
      <c r="D271" s="15" t="s">
        <v>623</v>
      </c>
      <c r="E271" s="13">
        <v>1</v>
      </c>
      <c r="F271" s="13">
        <v>3</v>
      </c>
      <c r="G271" s="13">
        <f t="shared" si="11"/>
        <v>59</v>
      </c>
      <c r="H271" s="13">
        <v>270</v>
      </c>
      <c r="I271" s="14">
        <f t="shared" si="12"/>
        <v>-269.83561643835617</v>
      </c>
      <c r="J271" s="15" t="s">
        <v>624</v>
      </c>
      <c r="K271" s="2">
        <v>99</v>
      </c>
      <c r="L271" s="8">
        <v>99</v>
      </c>
      <c r="M271" s="8">
        <f>1000/L271</f>
        <v>10.1010101010101</v>
      </c>
      <c r="N271" s="8">
        <f>8.33*M271</f>
        <v>84.141414141414131</v>
      </c>
      <c r="O271" s="8">
        <f>1.613*N271</f>
        <v>135.72010101010099</v>
      </c>
      <c r="P271" s="1">
        <v>45</v>
      </c>
      <c r="Q271" s="9">
        <v>45</v>
      </c>
      <c r="R271" s="8">
        <f>1000/Q271</f>
        <v>22.222222222222221</v>
      </c>
      <c r="S271" s="8">
        <f>8.33*R271</f>
        <v>185.11111111111111</v>
      </c>
      <c r="T271" s="8">
        <f>S271*1.33</f>
        <v>246.19777777777779</v>
      </c>
      <c r="U271" t="s">
        <v>41</v>
      </c>
    </row>
    <row r="272" spans="1:36" x14ac:dyDescent="0.2">
      <c r="A272">
        <v>-266</v>
      </c>
      <c r="B272" s="10" t="s">
        <v>285</v>
      </c>
      <c r="D272" s="15" t="s">
        <v>625</v>
      </c>
      <c r="E272" s="13">
        <v>22</v>
      </c>
      <c r="F272" s="13">
        <v>7</v>
      </c>
      <c r="G272" s="13">
        <f t="shared" si="11"/>
        <v>181</v>
      </c>
      <c r="H272" s="13">
        <v>267</v>
      </c>
      <c r="I272" s="14">
        <f t="shared" si="12"/>
        <v>-266.44383561643838</v>
      </c>
      <c r="J272" s="15" t="s">
        <v>626</v>
      </c>
      <c r="R272" s="8"/>
      <c r="S272" s="8"/>
      <c r="T272" s="8"/>
      <c r="AG272" s="1">
        <v>3.5</v>
      </c>
      <c r="AH272" s="9">
        <v>3.5</v>
      </c>
      <c r="AI272" s="8">
        <f>1/AH272</f>
        <v>0.2857142857142857</v>
      </c>
      <c r="AJ272" s="8">
        <f>8.33*AI272</f>
        <v>2.38</v>
      </c>
    </row>
    <row r="273" spans="1:36" x14ac:dyDescent="0.2">
      <c r="A273">
        <v>-266</v>
      </c>
      <c r="B273" s="10" t="s">
        <v>94</v>
      </c>
      <c r="D273" s="15" t="s">
        <v>627</v>
      </c>
      <c r="E273" s="13">
        <v>20</v>
      </c>
      <c r="F273" s="13">
        <v>10</v>
      </c>
      <c r="G273" s="13">
        <f t="shared" si="11"/>
        <v>273</v>
      </c>
      <c r="H273" s="13">
        <v>267</v>
      </c>
      <c r="I273" s="14">
        <f t="shared" si="12"/>
        <v>-266.19726027397257</v>
      </c>
      <c r="J273" s="15" t="s">
        <v>628</v>
      </c>
      <c r="R273" s="8"/>
      <c r="S273" s="8"/>
      <c r="T273" s="8"/>
      <c r="Y273">
        <v>54</v>
      </c>
      <c r="Z273" s="17">
        <v>54</v>
      </c>
      <c r="AA273" s="16">
        <f>1000/Z273</f>
        <v>18.518518518518519</v>
      </c>
      <c r="AB273" s="16">
        <f>8.33*AA273</f>
        <v>154.25925925925927</v>
      </c>
      <c r="AC273" s="1">
        <v>21</v>
      </c>
      <c r="AD273" s="9">
        <v>21</v>
      </c>
      <c r="AE273" s="8">
        <f>1000/AD273</f>
        <v>47.61904761904762</v>
      </c>
      <c r="AF273" s="8">
        <f>8.33*AE273</f>
        <v>396.66666666666669</v>
      </c>
      <c r="AG273" s="1">
        <v>3.5</v>
      </c>
      <c r="AH273" s="9">
        <v>3.5</v>
      </c>
      <c r="AI273" s="8">
        <f>1/AH273</f>
        <v>0.2857142857142857</v>
      </c>
      <c r="AJ273" s="8">
        <f>8.33*AI273</f>
        <v>2.38</v>
      </c>
    </row>
    <row r="274" spans="1:36" x14ac:dyDescent="0.2">
      <c r="A274">
        <v>-264</v>
      </c>
      <c r="B274" s="10" t="s">
        <v>72</v>
      </c>
      <c r="D274" s="15" t="s">
        <v>629</v>
      </c>
      <c r="E274" s="13">
        <v>29</v>
      </c>
      <c r="F274" s="13">
        <v>8</v>
      </c>
      <c r="G274" s="13">
        <f t="shared" si="11"/>
        <v>212</v>
      </c>
      <c r="H274" s="13">
        <v>265</v>
      </c>
      <c r="I274" s="14">
        <f t="shared" si="12"/>
        <v>-264.33972602739726</v>
      </c>
      <c r="J274" s="15" t="s">
        <v>630</v>
      </c>
      <c r="R274" s="8"/>
      <c r="S274" s="8"/>
      <c r="T274" s="8"/>
      <c r="AG274" s="1">
        <v>4</v>
      </c>
      <c r="AH274" s="9">
        <v>4</v>
      </c>
      <c r="AI274" s="8">
        <f>1/AH274</f>
        <v>0.25</v>
      </c>
      <c r="AJ274" s="8">
        <f>8.33*AI274</f>
        <v>2.0825</v>
      </c>
    </row>
    <row r="275" spans="1:36" x14ac:dyDescent="0.2">
      <c r="A275">
        <v>-264</v>
      </c>
      <c r="B275" s="10" t="s">
        <v>91</v>
      </c>
      <c r="D275" s="15" t="s">
        <v>631</v>
      </c>
      <c r="E275" s="13">
        <v>27</v>
      </c>
      <c r="F275" s="13">
        <v>9</v>
      </c>
      <c r="G275" s="13">
        <f t="shared" si="11"/>
        <v>243</v>
      </c>
      <c r="H275" s="13">
        <v>265</v>
      </c>
      <c r="I275" s="14">
        <f t="shared" si="12"/>
        <v>-264.26027397260276</v>
      </c>
      <c r="J275" s="15" t="s">
        <v>632</v>
      </c>
      <c r="R275" s="8"/>
      <c r="S275" s="8"/>
      <c r="T275" s="8"/>
      <c r="Y275" s="1">
        <v>24</v>
      </c>
      <c r="Z275" s="9">
        <v>24</v>
      </c>
      <c r="AA275" s="8">
        <f>1000/Z275</f>
        <v>41.666666666666664</v>
      </c>
      <c r="AB275" s="8">
        <f>8.33*AA275</f>
        <v>347.08333333333331</v>
      </c>
      <c r="AC275" s="28" t="s">
        <v>633</v>
      </c>
      <c r="AD275" s="21">
        <v>15</v>
      </c>
      <c r="AE275" s="22">
        <f>1000/AD275</f>
        <v>66.666666666666671</v>
      </c>
      <c r="AF275" s="22">
        <f>8.33*AE275</f>
        <v>555.33333333333337</v>
      </c>
    </row>
    <row r="276" spans="1:36" x14ac:dyDescent="0.2">
      <c r="A276">
        <v>-261</v>
      </c>
      <c r="B276" s="10" t="s">
        <v>91</v>
      </c>
      <c r="D276" s="15" t="s">
        <v>634</v>
      </c>
      <c r="E276" s="13">
        <v>25</v>
      </c>
      <c r="F276" s="13">
        <v>9</v>
      </c>
      <c r="G276" s="13">
        <f t="shared" si="11"/>
        <v>243</v>
      </c>
      <c r="H276" s="13">
        <v>262</v>
      </c>
      <c r="I276" s="14">
        <f t="shared" si="12"/>
        <v>-261.26575342465753</v>
      </c>
      <c r="J276" s="15" t="s">
        <v>635</v>
      </c>
      <c r="K276" s="2">
        <v>168</v>
      </c>
      <c r="L276" s="8">
        <v>168</v>
      </c>
      <c r="M276" s="8">
        <f>1000/L276</f>
        <v>5.9523809523809526</v>
      </c>
      <c r="N276" s="8">
        <f>8.33*M276</f>
        <v>49.583333333333336</v>
      </c>
      <c r="O276" s="8">
        <f>1.613*N276</f>
        <v>79.977916666666673</v>
      </c>
      <c r="P276" s="1" t="s">
        <v>198</v>
      </c>
      <c r="Q276" s="21">
        <v>81</v>
      </c>
      <c r="R276" s="22">
        <f>1000/Q276</f>
        <v>12.345679012345679</v>
      </c>
      <c r="S276" s="22">
        <f>8.33*R276</f>
        <v>102.83950617283951</v>
      </c>
      <c r="T276" s="22">
        <f>S276*1.33</f>
        <v>136.77654320987656</v>
      </c>
      <c r="AA276" s="8"/>
      <c r="AB276" s="8"/>
    </row>
    <row r="277" spans="1:36" x14ac:dyDescent="0.2">
      <c r="A277">
        <v>-261</v>
      </c>
      <c r="B277" s="10" t="s">
        <v>36</v>
      </c>
      <c r="D277" s="15" t="s">
        <v>636</v>
      </c>
      <c r="E277" s="13">
        <v>24</v>
      </c>
      <c r="F277" s="13">
        <v>11</v>
      </c>
      <c r="G277" s="13">
        <f t="shared" si="11"/>
        <v>304</v>
      </c>
      <c r="H277" s="13">
        <v>262</v>
      </c>
      <c r="I277" s="14">
        <f t="shared" si="12"/>
        <v>-261.1013698630137</v>
      </c>
      <c r="J277" s="15" t="s">
        <v>637</v>
      </c>
      <c r="P277" s="1">
        <v>150</v>
      </c>
      <c r="Q277" s="9">
        <v>150</v>
      </c>
      <c r="R277" s="8">
        <f>1000/Q277</f>
        <v>6.666666666666667</v>
      </c>
      <c r="S277" s="8">
        <f>8.33*R277</f>
        <v>55.533333333333339</v>
      </c>
      <c r="T277" s="8">
        <f>S277*1.33</f>
        <v>73.859333333333339</v>
      </c>
      <c r="U277" s="1">
        <v>270</v>
      </c>
      <c r="V277" s="9">
        <v>270</v>
      </c>
      <c r="W277" s="8">
        <f>1000/V277</f>
        <v>3.7037037037037037</v>
      </c>
      <c r="X277" s="8">
        <f>8.33*W277</f>
        <v>30.851851851851851</v>
      </c>
      <c r="Y277" s="1">
        <v>33</v>
      </c>
      <c r="Z277" s="9">
        <v>33</v>
      </c>
      <c r="AA277" s="8">
        <f>1000/Z277</f>
        <v>30.303030303030305</v>
      </c>
      <c r="AB277" s="8">
        <f>8.33*AA277</f>
        <v>252.42424242424244</v>
      </c>
      <c r="AC277" s="1">
        <v>42</v>
      </c>
      <c r="AD277" s="9">
        <v>42</v>
      </c>
      <c r="AE277" s="8">
        <f>1000/AD277</f>
        <v>23.80952380952381</v>
      </c>
      <c r="AF277" s="8">
        <f>8.33*AE277</f>
        <v>198.33333333333334</v>
      </c>
      <c r="AG277" t="s">
        <v>82</v>
      </c>
    </row>
    <row r="278" spans="1:36" x14ac:dyDescent="0.2">
      <c r="A278">
        <v>-261</v>
      </c>
      <c r="B278" s="10" t="s">
        <v>162</v>
      </c>
      <c r="D278" s="15" t="s">
        <v>638</v>
      </c>
      <c r="E278" s="13">
        <v>20</v>
      </c>
      <c r="F278" s="13">
        <v>3</v>
      </c>
      <c r="G278" s="13">
        <f t="shared" si="11"/>
        <v>59</v>
      </c>
      <c r="H278" s="13">
        <v>261</v>
      </c>
      <c r="I278" s="14">
        <f t="shared" si="12"/>
        <v>-260.78356164383564</v>
      </c>
      <c r="J278" s="15" t="s">
        <v>639</v>
      </c>
      <c r="R278" s="8"/>
      <c r="S278" s="8"/>
      <c r="T278" s="8"/>
      <c r="Y278" s="1" t="s">
        <v>640</v>
      </c>
      <c r="Z278" s="21">
        <v>32</v>
      </c>
      <c r="AA278" s="22">
        <f>1000/Z278</f>
        <v>31.25</v>
      </c>
      <c r="AB278" s="22">
        <f>8.33*AA278</f>
        <v>260.3125</v>
      </c>
      <c r="AC278" s="1">
        <v>42</v>
      </c>
      <c r="AD278" s="9">
        <v>42</v>
      </c>
      <c r="AE278" s="8">
        <f>1000/AD278</f>
        <v>23.80952380952381</v>
      </c>
      <c r="AF278" s="8">
        <f>8.33*AE278</f>
        <v>198.33333333333334</v>
      </c>
      <c r="AG278" s="1">
        <v>3.5</v>
      </c>
      <c r="AH278" s="9">
        <v>3.5</v>
      </c>
      <c r="AI278" s="8">
        <f>1/AH278</f>
        <v>0.2857142857142857</v>
      </c>
      <c r="AJ278" s="8">
        <f>8.33*AI278</f>
        <v>2.38</v>
      </c>
    </row>
    <row r="279" spans="1:36" x14ac:dyDescent="0.2">
      <c r="A279">
        <v>-260</v>
      </c>
      <c r="B279" s="10" t="s">
        <v>72</v>
      </c>
      <c r="D279" s="15" t="s">
        <v>641</v>
      </c>
      <c r="E279" s="13">
        <v>14</v>
      </c>
      <c r="F279" s="13">
        <v>9</v>
      </c>
      <c r="G279" s="13">
        <f t="shared" si="11"/>
        <v>243</v>
      </c>
      <c r="H279" s="13">
        <v>261</v>
      </c>
      <c r="I279" s="14">
        <f t="shared" si="12"/>
        <v>-260.29589041095892</v>
      </c>
      <c r="J279" s="15" t="s">
        <v>642</v>
      </c>
      <c r="R279" s="8"/>
      <c r="S279" s="8"/>
      <c r="T279" s="8"/>
      <c r="U279" t="s">
        <v>643</v>
      </c>
      <c r="Y279" s="1">
        <v>24</v>
      </c>
      <c r="Z279" s="9">
        <v>24</v>
      </c>
      <c r="AA279" s="8">
        <f>1000/Z279</f>
        <v>41.666666666666664</v>
      </c>
      <c r="AB279" s="8">
        <f>8.33*AA279</f>
        <v>347.08333333333331</v>
      </c>
      <c r="AC279" s="1">
        <v>36</v>
      </c>
      <c r="AD279" s="9">
        <v>36</v>
      </c>
      <c r="AE279" s="8">
        <f>1000/AD279</f>
        <v>27.777777777777779</v>
      </c>
      <c r="AF279" s="8">
        <f>8.33*AE279</f>
        <v>231.38888888888889</v>
      </c>
      <c r="AG279" s="1" t="s">
        <v>644</v>
      </c>
      <c r="AH279" s="21">
        <v>0.5</v>
      </c>
      <c r="AI279" s="22">
        <f>1/AH279</f>
        <v>2</v>
      </c>
      <c r="AJ279" s="22">
        <f>8.33*AI279</f>
        <v>16.66</v>
      </c>
    </row>
    <row r="280" spans="1:36" x14ac:dyDescent="0.2">
      <c r="A280">
        <v>-259</v>
      </c>
      <c r="B280" s="10" t="s">
        <v>75</v>
      </c>
      <c r="D280" s="15" t="s">
        <v>645</v>
      </c>
      <c r="E280" s="13">
        <v>30</v>
      </c>
      <c r="F280" s="13">
        <v>12</v>
      </c>
      <c r="G280" s="13">
        <f t="shared" si="11"/>
        <v>334</v>
      </c>
      <c r="H280" s="13">
        <v>258</v>
      </c>
      <c r="I280" s="14">
        <f t="shared" si="12"/>
        <v>-257.00273972602741</v>
      </c>
      <c r="J280" s="15" t="s">
        <v>646</v>
      </c>
      <c r="K280" s="2">
        <v>90</v>
      </c>
      <c r="L280" s="8">
        <v>90</v>
      </c>
      <c r="M280" s="8">
        <f>1000/L280</f>
        <v>11.111111111111111</v>
      </c>
      <c r="N280" s="8">
        <f>8.33*M280</f>
        <v>92.555555555555557</v>
      </c>
      <c r="O280" s="8">
        <f>1.613*N280</f>
        <v>149.29211111111113</v>
      </c>
      <c r="P280" s="1">
        <v>114</v>
      </c>
      <c r="Q280" s="9">
        <v>114</v>
      </c>
      <c r="R280" s="8">
        <f>1000/Q280</f>
        <v>8.7719298245614041</v>
      </c>
      <c r="S280" s="8">
        <f>8.33*R280</f>
        <v>73.070175438596493</v>
      </c>
      <c r="T280" s="8">
        <f>S280*1.33</f>
        <v>97.183333333333337</v>
      </c>
      <c r="U280" t="s">
        <v>647</v>
      </c>
      <c r="V280" s="17">
        <v>226</v>
      </c>
      <c r="W280" s="16">
        <f>1000/V280</f>
        <v>4.4247787610619467</v>
      </c>
      <c r="X280" s="16">
        <f>8.33*W280</f>
        <v>36.858407079646014</v>
      </c>
    </row>
    <row r="281" spans="1:36" x14ac:dyDescent="0.2">
      <c r="A281">
        <v>-257</v>
      </c>
      <c r="B281" s="10" t="s">
        <v>60</v>
      </c>
      <c r="C281" s="11" t="s">
        <v>39</v>
      </c>
      <c r="D281" s="15" t="s">
        <v>648</v>
      </c>
      <c r="E281" s="13">
        <v>17</v>
      </c>
      <c r="F281" s="13">
        <v>4</v>
      </c>
      <c r="G281" s="13">
        <f t="shared" si="11"/>
        <v>90</v>
      </c>
      <c r="H281" s="13">
        <v>258</v>
      </c>
      <c r="I281" s="14">
        <f t="shared" si="12"/>
        <v>-257.7068493150685</v>
      </c>
      <c r="J281" s="15" t="s">
        <v>649</v>
      </c>
      <c r="P281">
        <v>52.5</v>
      </c>
      <c r="Q281" s="17">
        <v>52.5</v>
      </c>
      <c r="R281" s="16">
        <f>1000/Q281</f>
        <v>19.047619047619047</v>
      </c>
      <c r="S281" s="16">
        <f>8.33*R281</f>
        <v>158.66666666666666</v>
      </c>
      <c r="T281" s="16">
        <f>S281*1.33</f>
        <v>211.02666666666667</v>
      </c>
      <c r="U281" t="s">
        <v>41</v>
      </c>
    </row>
    <row r="282" spans="1:36" x14ac:dyDescent="0.2">
      <c r="A282">
        <v>-257</v>
      </c>
      <c r="B282" s="10" t="s">
        <v>60</v>
      </c>
      <c r="C282" s="11" t="s">
        <v>42</v>
      </c>
      <c r="D282" s="15" t="s">
        <v>650</v>
      </c>
      <c r="E282" s="13">
        <v>27</v>
      </c>
      <c r="F282" s="13">
        <v>4</v>
      </c>
      <c r="G282" s="13">
        <f t="shared" si="11"/>
        <v>90</v>
      </c>
      <c r="H282" s="13">
        <v>258</v>
      </c>
      <c r="I282" s="14">
        <f t="shared" si="12"/>
        <v>-257.67945205479452</v>
      </c>
      <c r="J282" s="15" t="s">
        <v>651</v>
      </c>
      <c r="T282" s="8"/>
    </row>
    <row r="283" spans="1:36" x14ac:dyDescent="0.2">
      <c r="A283">
        <v>-257</v>
      </c>
      <c r="B283" s="10" t="s">
        <v>60</v>
      </c>
      <c r="C283" s="11" t="s">
        <v>45</v>
      </c>
      <c r="D283" s="15" t="s">
        <v>652</v>
      </c>
      <c r="E283" s="13">
        <v>7</v>
      </c>
      <c r="F283" s="13">
        <v>5</v>
      </c>
      <c r="G283" s="13">
        <f t="shared" si="11"/>
        <v>120</v>
      </c>
      <c r="H283" s="13">
        <v>258</v>
      </c>
      <c r="I283" s="14">
        <f t="shared" si="12"/>
        <v>-257.65205479452055</v>
      </c>
      <c r="J283" s="15" t="s">
        <v>653</v>
      </c>
      <c r="P283">
        <v>84</v>
      </c>
      <c r="Q283" s="17">
        <v>84</v>
      </c>
      <c r="R283" s="16">
        <f>1000/Q283</f>
        <v>11.904761904761905</v>
      </c>
      <c r="S283" s="16">
        <f>8.33*R283</f>
        <v>99.166666666666671</v>
      </c>
      <c r="T283" s="16">
        <f>S283*1.33</f>
        <v>131.89166666666668</v>
      </c>
    </row>
    <row r="284" spans="1:36" x14ac:dyDescent="0.2">
      <c r="A284">
        <v>-257</v>
      </c>
      <c r="B284" s="10" t="s">
        <v>47</v>
      </c>
      <c r="D284" s="15" t="s">
        <v>654</v>
      </c>
      <c r="E284" s="13">
        <v>16</v>
      </c>
      <c r="F284" s="13">
        <v>5</v>
      </c>
      <c r="G284" s="13">
        <f t="shared" si="11"/>
        <v>120</v>
      </c>
      <c r="H284" s="13">
        <v>258</v>
      </c>
      <c r="I284" s="14">
        <f t="shared" si="12"/>
        <v>-257.62739726027399</v>
      </c>
      <c r="J284" s="15" t="s">
        <v>655</v>
      </c>
      <c r="P284">
        <v>124</v>
      </c>
      <c r="Q284" s="17">
        <v>124</v>
      </c>
      <c r="R284" s="16">
        <f>1000/Q284</f>
        <v>8.064516129032258</v>
      </c>
      <c r="S284" s="16">
        <f>8.33*R284</f>
        <v>67.177419354838705</v>
      </c>
      <c r="T284" s="16">
        <f>S284*1.33</f>
        <v>89.345967741935482</v>
      </c>
      <c r="U284" t="s">
        <v>656</v>
      </c>
      <c r="V284" s="20">
        <v>200</v>
      </c>
      <c r="W284" s="19">
        <f>1000/V284</f>
        <v>5</v>
      </c>
      <c r="X284" s="19">
        <f>8.33*W284</f>
        <v>41.65</v>
      </c>
    </row>
    <row r="285" spans="1:36" x14ac:dyDescent="0.2">
      <c r="A285">
        <v>-256</v>
      </c>
      <c r="B285" s="10" t="s">
        <v>60</v>
      </c>
      <c r="D285" s="15" t="s">
        <v>657</v>
      </c>
      <c r="E285" s="13">
        <v>5</v>
      </c>
      <c r="F285" s="13">
        <v>4</v>
      </c>
      <c r="G285" s="13">
        <f t="shared" si="11"/>
        <v>90</v>
      </c>
      <c r="H285" s="13">
        <v>257</v>
      </c>
      <c r="I285" s="14">
        <f t="shared" si="12"/>
        <v>-256.73972602739724</v>
      </c>
      <c r="J285" s="15" t="s">
        <v>658</v>
      </c>
      <c r="T285" s="8"/>
      <c r="AG285" s="1">
        <v>1</v>
      </c>
      <c r="AH285" s="9">
        <v>1</v>
      </c>
      <c r="AI285" s="8">
        <f>1/AH285</f>
        <v>1</v>
      </c>
      <c r="AJ285" s="8">
        <f>8.33*AI285</f>
        <v>8.33</v>
      </c>
    </row>
    <row r="286" spans="1:36" x14ac:dyDescent="0.2">
      <c r="A286">
        <v>-256</v>
      </c>
      <c r="B286" s="10" t="s">
        <v>65</v>
      </c>
      <c r="D286" s="15" t="s">
        <v>659</v>
      </c>
      <c r="E286" s="13">
        <v>3</v>
      </c>
      <c r="F286" s="13">
        <v>6</v>
      </c>
      <c r="G286" s="13">
        <f t="shared" si="11"/>
        <v>151</v>
      </c>
      <c r="H286" s="13">
        <v>257</v>
      </c>
      <c r="I286" s="14">
        <f t="shared" si="12"/>
        <v>-256.57808219178082</v>
      </c>
      <c r="J286" s="15" t="s">
        <v>660</v>
      </c>
      <c r="K286" s="2">
        <v>36</v>
      </c>
      <c r="L286" s="8">
        <v>36</v>
      </c>
      <c r="M286" s="8">
        <f>1000/L286</f>
        <v>27.777777777777779</v>
      </c>
      <c r="N286" s="8">
        <f>8.33*M286</f>
        <v>231.38888888888889</v>
      </c>
      <c r="O286" s="8">
        <f>1.613*N286</f>
        <v>373.23027777777776</v>
      </c>
      <c r="P286" s="1">
        <v>51</v>
      </c>
      <c r="Q286" s="9">
        <v>51</v>
      </c>
      <c r="R286" s="8">
        <f>1000/Q286</f>
        <v>19.607843137254903</v>
      </c>
      <c r="S286" s="8">
        <f>8.33*R286</f>
        <v>163.33333333333334</v>
      </c>
      <c r="T286" s="8">
        <f>S286*1.33</f>
        <v>217.23333333333335</v>
      </c>
      <c r="U286" s="1">
        <v>108</v>
      </c>
      <c r="V286" s="9">
        <v>108</v>
      </c>
      <c r="W286" s="8">
        <f>1000/V286</f>
        <v>9.2592592592592595</v>
      </c>
      <c r="X286" s="8">
        <f>8.33*W286</f>
        <v>77.129629629629633</v>
      </c>
      <c r="Y286" t="s">
        <v>41</v>
      </c>
    </row>
    <row r="287" spans="1:36" x14ac:dyDescent="0.2">
      <c r="A287">
        <v>-256</v>
      </c>
      <c r="B287" s="10" t="s">
        <v>83</v>
      </c>
      <c r="D287" s="15" t="s">
        <v>661</v>
      </c>
      <c r="E287" s="13">
        <v>25</v>
      </c>
      <c r="F287" s="13">
        <v>1</v>
      </c>
      <c r="G287" s="13">
        <f t="shared" si="11"/>
        <v>0</v>
      </c>
      <c r="H287" s="13">
        <v>256</v>
      </c>
      <c r="I287" s="14">
        <f t="shared" si="12"/>
        <v>-255.93150684931507</v>
      </c>
      <c r="J287" s="15" t="s">
        <v>662</v>
      </c>
      <c r="K287" s="2">
        <v>24</v>
      </c>
      <c r="L287" s="8">
        <v>24</v>
      </c>
      <c r="M287" s="8">
        <f>1000/L287</f>
        <v>41.666666666666664</v>
      </c>
      <c r="N287" s="8">
        <f>8.33*M287</f>
        <v>347.08333333333331</v>
      </c>
      <c r="O287" s="8">
        <f>1.613*N287</f>
        <v>559.84541666666667</v>
      </c>
      <c r="P287" s="1"/>
      <c r="Q287" s="9"/>
      <c r="T287" s="8"/>
      <c r="U287" s="1"/>
      <c r="V287" s="9"/>
    </row>
    <row r="288" spans="1:36" x14ac:dyDescent="0.2">
      <c r="A288">
        <v>-256</v>
      </c>
      <c r="B288" s="10" t="s">
        <v>83</v>
      </c>
      <c r="C288" s="11" t="s">
        <v>39</v>
      </c>
      <c r="D288" s="15" t="s">
        <v>661</v>
      </c>
      <c r="E288" s="13">
        <v>25</v>
      </c>
      <c r="F288" s="13">
        <v>1</v>
      </c>
      <c r="G288" s="13">
        <f t="shared" si="11"/>
        <v>0</v>
      </c>
      <c r="H288" s="13">
        <v>256</v>
      </c>
      <c r="I288" s="14">
        <f t="shared" si="12"/>
        <v>-255.93150684931507</v>
      </c>
      <c r="J288" s="15" t="s">
        <v>663</v>
      </c>
      <c r="P288">
        <v>51</v>
      </c>
      <c r="Q288" s="17">
        <v>51</v>
      </c>
      <c r="R288" s="16">
        <f>1000/Q288</f>
        <v>19.607843137254903</v>
      </c>
      <c r="S288" s="16">
        <f>8.33*R288</f>
        <v>163.33333333333334</v>
      </c>
      <c r="T288" s="16">
        <f>S288*1.33</f>
        <v>217.23333333333335</v>
      </c>
    </row>
    <row r="289" spans="1:36" x14ac:dyDescent="0.2">
      <c r="A289">
        <v>-256</v>
      </c>
      <c r="B289" s="29" t="s">
        <v>83</v>
      </c>
      <c r="C289" s="11" t="s">
        <v>42</v>
      </c>
      <c r="D289" s="15" t="s">
        <v>664</v>
      </c>
      <c r="E289" s="13">
        <v>4</v>
      </c>
      <c r="F289" s="13">
        <v>2</v>
      </c>
      <c r="G289" s="13">
        <f t="shared" si="11"/>
        <v>31</v>
      </c>
      <c r="H289" s="13">
        <v>256</v>
      </c>
      <c r="I289" s="14">
        <f t="shared" si="12"/>
        <v>-255.9041095890411</v>
      </c>
      <c r="J289" s="15" t="s">
        <v>665</v>
      </c>
      <c r="Q289" s="20">
        <v>51</v>
      </c>
      <c r="R289" s="19">
        <v>19.61</v>
      </c>
      <c r="S289" s="19">
        <v>163.33000000000001</v>
      </c>
      <c r="T289" s="19">
        <f>S289*1.33</f>
        <v>217.22890000000004</v>
      </c>
    </row>
    <row r="290" spans="1:36" x14ac:dyDescent="0.2">
      <c r="A290">
        <v>-256</v>
      </c>
      <c r="B290" s="10" t="s">
        <v>83</v>
      </c>
      <c r="C290" s="11" t="s">
        <v>45</v>
      </c>
      <c r="D290" s="15" t="s">
        <v>666</v>
      </c>
      <c r="E290" s="13">
        <v>14</v>
      </c>
      <c r="F290" s="13">
        <v>2</v>
      </c>
      <c r="G290" s="13">
        <f t="shared" si="11"/>
        <v>31</v>
      </c>
      <c r="H290" s="13">
        <v>256</v>
      </c>
      <c r="I290" s="14">
        <f t="shared" si="12"/>
        <v>-255.87671232876713</v>
      </c>
      <c r="J290" s="15" t="s">
        <v>662</v>
      </c>
      <c r="P290">
        <v>45</v>
      </c>
      <c r="Q290" s="17">
        <v>45</v>
      </c>
      <c r="R290" s="16">
        <f>1000/Q290</f>
        <v>22.222222222222221</v>
      </c>
      <c r="S290" s="16">
        <f>8.33*R290</f>
        <v>185.11111111111111</v>
      </c>
      <c r="T290" s="16">
        <f>S290*1.33</f>
        <v>246.19777777777779</v>
      </c>
    </row>
    <row r="291" spans="1:36" x14ac:dyDescent="0.2">
      <c r="A291">
        <v>-255</v>
      </c>
      <c r="B291" s="10" t="s">
        <v>60</v>
      </c>
      <c r="D291" s="15" t="s">
        <v>667</v>
      </c>
      <c r="E291" s="13">
        <v>26</v>
      </c>
      <c r="F291" s="13">
        <v>3</v>
      </c>
      <c r="G291" s="13">
        <f t="shared" si="11"/>
        <v>59</v>
      </c>
      <c r="H291" s="13">
        <v>256</v>
      </c>
      <c r="I291" s="14">
        <f t="shared" si="12"/>
        <v>-255.76712328767124</v>
      </c>
      <c r="J291" s="15" t="s">
        <v>668</v>
      </c>
      <c r="K291" s="2">
        <v>24</v>
      </c>
      <c r="L291" s="8">
        <v>24</v>
      </c>
      <c r="M291" s="8">
        <f>1000/L291</f>
        <v>41.666666666666664</v>
      </c>
      <c r="N291" s="8">
        <f>8.33*M291</f>
        <v>347.08333333333331</v>
      </c>
      <c r="O291" s="8">
        <f>1.613*N291</f>
        <v>559.84541666666667</v>
      </c>
      <c r="P291" s="1">
        <v>45</v>
      </c>
      <c r="Q291" s="9">
        <v>45</v>
      </c>
      <c r="R291" s="8">
        <f>1000/Q291</f>
        <v>22.222222222222221</v>
      </c>
      <c r="S291" s="8">
        <f>8.33*R291</f>
        <v>185.11111111111111</v>
      </c>
      <c r="T291" s="8">
        <f>S291*1.33</f>
        <v>246.19777777777779</v>
      </c>
      <c r="U291" s="1">
        <v>225</v>
      </c>
      <c r="V291" s="9">
        <v>225</v>
      </c>
      <c r="W291" s="8">
        <f>1000/V291</f>
        <v>4.4444444444444446</v>
      </c>
      <c r="X291" s="8">
        <f>8.33*W291</f>
        <v>37.022222222222226</v>
      </c>
      <c r="Y291" s="1">
        <v>18</v>
      </c>
      <c r="Z291" s="9">
        <v>18</v>
      </c>
      <c r="AA291" s="8">
        <f>1000/Z291</f>
        <v>55.555555555555557</v>
      </c>
      <c r="AB291" s="8">
        <f>8.33*AA291</f>
        <v>462.77777777777777</v>
      </c>
      <c r="AC291" s="1">
        <v>18</v>
      </c>
      <c r="AD291" s="9">
        <v>18</v>
      </c>
      <c r="AE291" s="8">
        <f>1000/AD291</f>
        <v>55.555555555555557</v>
      </c>
      <c r="AF291" s="8">
        <f>8.33*AE291</f>
        <v>462.77777777777777</v>
      </c>
      <c r="AG291" s="1">
        <v>4</v>
      </c>
      <c r="AH291" s="9">
        <v>4</v>
      </c>
      <c r="AI291" s="8">
        <f>1/AH291</f>
        <v>0.25</v>
      </c>
      <c r="AJ291" s="8">
        <f>8.33*AI291</f>
        <v>2.0825</v>
      </c>
    </row>
    <row r="292" spans="1:36" x14ac:dyDescent="0.2">
      <c r="A292">
        <v>-255</v>
      </c>
      <c r="B292" s="10" t="s">
        <v>47</v>
      </c>
      <c r="D292" s="15" t="s">
        <v>669</v>
      </c>
      <c r="E292" s="13">
        <v>24</v>
      </c>
      <c r="F292" s="13">
        <v>4</v>
      </c>
      <c r="G292" s="13">
        <f t="shared" si="11"/>
        <v>90</v>
      </c>
      <c r="H292" s="13">
        <v>256</v>
      </c>
      <c r="I292" s="14">
        <f t="shared" si="12"/>
        <v>-255.68767123287671</v>
      </c>
      <c r="J292" s="15" t="s">
        <v>670</v>
      </c>
      <c r="K292" s="2"/>
      <c r="L292" s="8"/>
      <c r="P292" s="1">
        <v>45</v>
      </c>
      <c r="Q292" s="9">
        <v>45</v>
      </c>
      <c r="R292" s="8">
        <f>1000/Q292</f>
        <v>22.222222222222221</v>
      </c>
      <c r="S292" s="8">
        <f>8.33*R292</f>
        <v>185.11111111111111</v>
      </c>
      <c r="T292" s="8">
        <f>S292*1.33</f>
        <v>246.19777777777779</v>
      </c>
      <c r="U292" s="1">
        <v>225</v>
      </c>
      <c r="V292" s="9">
        <v>225</v>
      </c>
      <c r="W292" s="8">
        <f>1000/V292</f>
        <v>4.4444444444444446</v>
      </c>
      <c r="X292" s="8">
        <f>8.33*W292</f>
        <v>37.022222222222226</v>
      </c>
      <c r="Y292" s="1">
        <v>18</v>
      </c>
      <c r="Z292" s="9">
        <v>18</v>
      </c>
      <c r="AA292" s="8">
        <f>1000/Z292</f>
        <v>55.555555555555557</v>
      </c>
      <c r="AB292" s="8">
        <f>8.33*AA292</f>
        <v>462.77777777777777</v>
      </c>
      <c r="AC292" s="1">
        <v>18</v>
      </c>
      <c r="AD292" s="9">
        <v>18</v>
      </c>
      <c r="AE292" s="8">
        <f>1000/AD292</f>
        <v>55.555555555555557</v>
      </c>
      <c r="AF292" s="8">
        <f>8.33*AE292</f>
        <v>462.77777777777777</v>
      </c>
      <c r="AG292" s="1"/>
      <c r="AH292" s="9"/>
    </row>
    <row r="293" spans="1:36" x14ac:dyDescent="0.2">
      <c r="A293">
        <v>-255</v>
      </c>
      <c r="B293" s="10" t="s">
        <v>47</v>
      </c>
      <c r="C293" s="11" t="s">
        <v>39</v>
      </c>
      <c r="D293" s="15" t="s">
        <v>669</v>
      </c>
      <c r="E293" s="13">
        <v>24</v>
      </c>
      <c r="F293" s="13">
        <v>4</v>
      </c>
      <c r="G293" s="13">
        <f t="shared" si="11"/>
        <v>90</v>
      </c>
      <c r="H293" s="13">
        <v>256</v>
      </c>
      <c r="I293" s="14">
        <f t="shared" si="12"/>
        <v>-255.68767123287671</v>
      </c>
      <c r="J293" s="15" t="s">
        <v>671</v>
      </c>
      <c r="T293" s="8"/>
      <c r="AG293" s="18"/>
    </row>
    <row r="294" spans="1:36" x14ac:dyDescent="0.2">
      <c r="A294">
        <v>-255</v>
      </c>
      <c r="B294" s="10" t="s">
        <v>47</v>
      </c>
      <c r="C294" s="11" t="s">
        <v>42</v>
      </c>
      <c r="D294" s="15" t="s">
        <v>672</v>
      </c>
      <c r="E294" s="13">
        <v>4</v>
      </c>
      <c r="F294" s="13">
        <v>5</v>
      </c>
      <c r="G294" s="13">
        <f t="shared" si="11"/>
        <v>120</v>
      </c>
      <c r="H294" s="13">
        <v>256</v>
      </c>
      <c r="I294" s="14">
        <f t="shared" si="12"/>
        <v>-255.66027397260274</v>
      </c>
      <c r="J294" s="15" t="s">
        <v>673</v>
      </c>
      <c r="T294" s="8"/>
    </row>
    <row r="295" spans="1:36" x14ac:dyDescent="0.2">
      <c r="A295">
        <v>-255</v>
      </c>
      <c r="B295" s="10" t="s">
        <v>47</v>
      </c>
      <c r="C295" s="11" t="s">
        <v>45</v>
      </c>
      <c r="D295" s="15" t="s">
        <v>674</v>
      </c>
      <c r="E295" s="13">
        <v>14</v>
      </c>
      <c r="F295" s="13">
        <v>5</v>
      </c>
      <c r="G295" s="13">
        <f t="shared" si="11"/>
        <v>120</v>
      </c>
      <c r="H295" s="13">
        <v>256</v>
      </c>
      <c r="I295" s="14">
        <f t="shared" si="12"/>
        <v>-255.63287671232877</v>
      </c>
      <c r="J295" s="15" t="s">
        <v>670</v>
      </c>
      <c r="K295" s="10">
        <v>42</v>
      </c>
      <c r="L295" s="16">
        <v>42</v>
      </c>
      <c r="M295" s="16">
        <f>1000/L295</f>
        <v>23.80952380952381</v>
      </c>
      <c r="N295" s="16">
        <f>8.33*M295</f>
        <v>198.33333333333334</v>
      </c>
      <c r="O295" s="16">
        <f>1.613*N295</f>
        <v>319.91166666666669</v>
      </c>
      <c r="T295" s="8"/>
    </row>
    <row r="296" spans="1:36" x14ac:dyDescent="0.2">
      <c r="A296">
        <v>-255</v>
      </c>
      <c r="B296" s="10" t="s">
        <v>285</v>
      </c>
      <c r="D296" s="15" t="s">
        <v>675</v>
      </c>
      <c r="E296" s="13">
        <v>22</v>
      </c>
      <c r="F296" s="13">
        <v>7</v>
      </c>
      <c r="G296" s="13">
        <f t="shared" si="11"/>
        <v>181</v>
      </c>
      <c r="H296" s="13">
        <v>256</v>
      </c>
      <c r="I296" s="14">
        <f t="shared" si="12"/>
        <v>-255.44383561643835</v>
      </c>
      <c r="J296" s="15" t="s">
        <v>676</v>
      </c>
      <c r="T296" s="8"/>
      <c r="Y296" s="1">
        <v>18</v>
      </c>
      <c r="Z296" s="9">
        <v>18</v>
      </c>
      <c r="AA296" s="8">
        <f t="shared" ref="AA296:AA301" si="13">1000/Z296</f>
        <v>55.555555555555557</v>
      </c>
      <c r="AB296" s="8">
        <f t="shared" ref="AB296:AB301" si="14">8.33*AA296</f>
        <v>462.77777777777777</v>
      </c>
      <c r="AC296" t="s">
        <v>41</v>
      </c>
      <c r="AG296">
        <v>4</v>
      </c>
      <c r="AH296" s="17">
        <v>4</v>
      </c>
      <c r="AI296" s="16">
        <f>1/AH296</f>
        <v>0.25</v>
      </c>
      <c r="AJ296" s="16">
        <f>8.33*AI296</f>
        <v>2.0825</v>
      </c>
    </row>
    <row r="297" spans="1:36" x14ac:dyDescent="0.2">
      <c r="A297">
        <v>-255</v>
      </c>
      <c r="B297" s="10" t="s">
        <v>72</v>
      </c>
      <c r="D297" s="15" t="s">
        <v>677</v>
      </c>
      <c r="E297" s="13">
        <v>21</v>
      </c>
      <c r="F297" s="13">
        <v>8</v>
      </c>
      <c r="G297" s="13">
        <f t="shared" si="11"/>
        <v>212</v>
      </c>
      <c r="H297" s="13">
        <v>256</v>
      </c>
      <c r="I297" s="14">
        <f t="shared" si="12"/>
        <v>-255.36164383561643</v>
      </c>
      <c r="J297" s="15" t="s">
        <v>678</v>
      </c>
      <c r="K297" s="2">
        <v>42</v>
      </c>
      <c r="L297" s="8">
        <v>42</v>
      </c>
      <c r="M297" s="8">
        <f>1000/L297</f>
        <v>23.80952380952381</v>
      </c>
      <c r="N297" s="8">
        <f>8.33*M297</f>
        <v>198.33333333333334</v>
      </c>
      <c r="O297" s="8">
        <f>1.613*N297</f>
        <v>319.91166666666669</v>
      </c>
      <c r="P297" s="1">
        <v>60</v>
      </c>
      <c r="Q297" s="9">
        <v>60</v>
      </c>
      <c r="R297" s="8">
        <f>1000/Q297</f>
        <v>16.666666666666668</v>
      </c>
      <c r="S297" s="8">
        <f>8.33*R297</f>
        <v>138.83333333333334</v>
      </c>
      <c r="T297" s="8">
        <f>S297*1.33</f>
        <v>184.64833333333337</v>
      </c>
      <c r="U297" s="1">
        <v>180</v>
      </c>
      <c r="V297" s="9">
        <v>180</v>
      </c>
      <c r="W297" s="8">
        <f>1000/V297</f>
        <v>5.5555555555555554</v>
      </c>
      <c r="X297" s="8">
        <f>8.33*W297</f>
        <v>46.277777777777779</v>
      </c>
      <c r="Y297" s="1">
        <v>18</v>
      </c>
      <c r="Z297" s="9">
        <v>18</v>
      </c>
      <c r="AA297" s="8">
        <f t="shared" si="13"/>
        <v>55.555555555555557</v>
      </c>
      <c r="AB297" s="8">
        <f t="shared" si="14"/>
        <v>462.77777777777777</v>
      </c>
      <c r="AC297" s="1">
        <v>24</v>
      </c>
      <c r="AD297" s="9">
        <v>24</v>
      </c>
      <c r="AE297" s="8">
        <f>1000/AD297</f>
        <v>41.666666666666664</v>
      </c>
      <c r="AF297" s="8">
        <f>8.33*AE297</f>
        <v>347.08333333333331</v>
      </c>
      <c r="AG297" s="1">
        <v>4</v>
      </c>
      <c r="AH297" s="9">
        <v>4</v>
      </c>
      <c r="AI297" s="8">
        <f>1/AH297</f>
        <v>0.25</v>
      </c>
      <c r="AJ297" s="8">
        <f>8.33*AI297</f>
        <v>2.0825</v>
      </c>
    </row>
    <row r="298" spans="1:36" x14ac:dyDescent="0.2">
      <c r="A298">
        <v>-255</v>
      </c>
      <c r="B298" s="10" t="s">
        <v>679</v>
      </c>
      <c r="D298" s="15" t="s">
        <v>680</v>
      </c>
      <c r="E298" s="13">
        <v>19</v>
      </c>
      <c r="F298" s="13">
        <v>9</v>
      </c>
      <c r="G298" s="13">
        <f t="shared" si="11"/>
        <v>243</v>
      </c>
      <c r="H298" s="13">
        <v>256</v>
      </c>
      <c r="I298" s="14">
        <f t="shared" si="12"/>
        <v>-255.2821917808219</v>
      </c>
      <c r="J298" s="15" t="s">
        <v>681</v>
      </c>
      <c r="K298" s="2">
        <v>42</v>
      </c>
      <c r="L298" s="8">
        <v>42</v>
      </c>
      <c r="M298" s="8">
        <f>1000/L298</f>
        <v>23.80952380952381</v>
      </c>
      <c r="N298" s="8">
        <f>8.33*M298</f>
        <v>198.33333333333334</v>
      </c>
      <c r="O298" s="8">
        <f>1.613*N298</f>
        <v>319.91166666666669</v>
      </c>
      <c r="P298" s="1">
        <v>72</v>
      </c>
      <c r="Q298" s="9">
        <v>72</v>
      </c>
      <c r="R298" s="8">
        <f>1000/Q298</f>
        <v>13.888888888888889</v>
      </c>
      <c r="S298" s="8">
        <f>8.33*R298</f>
        <v>115.69444444444444</v>
      </c>
      <c r="T298" s="8">
        <f>S298*1.33</f>
        <v>153.87361111111113</v>
      </c>
      <c r="U298" s="1">
        <v>180</v>
      </c>
      <c r="V298" s="9">
        <v>180</v>
      </c>
      <c r="W298" s="8">
        <f>1000/V298</f>
        <v>5.5555555555555554</v>
      </c>
      <c r="X298" s="8">
        <f>8.33*W298</f>
        <v>46.277777777777779</v>
      </c>
      <c r="Y298" s="1" t="s">
        <v>682</v>
      </c>
      <c r="Z298" s="21">
        <v>15</v>
      </c>
      <c r="AA298" s="22">
        <f t="shared" si="13"/>
        <v>66.666666666666671</v>
      </c>
      <c r="AB298" s="22">
        <f t="shared" si="14"/>
        <v>555.33333333333337</v>
      </c>
      <c r="AC298" t="s">
        <v>41</v>
      </c>
      <c r="AE298" s="8"/>
      <c r="AF298" s="8"/>
      <c r="AG298" s="1">
        <v>3.5</v>
      </c>
      <c r="AH298" s="9">
        <v>3.5</v>
      </c>
      <c r="AI298" s="8">
        <f>1/AH298</f>
        <v>0.2857142857142857</v>
      </c>
      <c r="AJ298" s="8">
        <f>8.33*AI298</f>
        <v>2.38</v>
      </c>
    </row>
    <row r="299" spans="1:36" x14ac:dyDescent="0.2">
      <c r="A299">
        <v>-254</v>
      </c>
      <c r="B299" s="10" t="s">
        <v>36</v>
      </c>
      <c r="D299" s="15" t="s">
        <v>683</v>
      </c>
      <c r="E299" s="13">
        <v>5</v>
      </c>
      <c r="F299" s="13">
        <v>12</v>
      </c>
      <c r="G299" s="13">
        <f t="shared" si="11"/>
        <v>334</v>
      </c>
      <c r="H299" s="13">
        <v>255</v>
      </c>
      <c r="I299" s="14">
        <f t="shared" si="12"/>
        <v>-254.07123287671232</v>
      </c>
      <c r="J299" s="15" t="s">
        <v>684</v>
      </c>
      <c r="P299">
        <v>60</v>
      </c>
      <c r="Q299" s="17">
        <v>60</v>
      </c>
      <c r="R299" s="16">
        <f>1000/Q299</f>
        <v>16.666666666666668</v>
      </c>
      <c r="S299" s="16">
        <f>8.33*R299</f>
        <v>138.83333333333334</v>
      </c>
      <c r="T299" s="16">
        <f>S299*1.33</f>
        <v>184.64833333333337</v>
      </c>
      <c r="U299" s="1">
        <v>270</v>
      </c>
      <c r="V299" s="9">
        <v>270</v>
      </c>
      <c r="W299" s="8">
        <f>1000/V299</f>
        <v>3.7037037037037037</v>
      </c>
      <c r="X299" s="8">
        <f>8.33*W299</f>
        <v>30.851851851851851</v>
      </c>
      <c r="Y299" s="1">
        <v>21</v>
      </c>
      <c r="Z299" s="9">
        <v>21</v>
      </c>
      <c r="AA299" s="8">
        <f t="shared" si="13"/>
        <v>47.61904761904762</v>
      </c>
      <c r="AB299" s="8">
        <f t="shared" si="14"/>
        <v>396.66666666666669</v>
      </c>
      <c r="AC299" t="s">
        <v>41</v>
      </c>
      <c r="AE299" s="8"/>
      <c r="AF299" s="8"/>
      <c r="AG299" t="s">
        <v>41</v>
      </c>
    </row>
    <row r="300" spans="1:36" x14ac:dyDescent="0.2">
      <c r="A300">
        <v>-254</v>
      </c>
      <c r="B300" s="10" t="s">
        <v>75</v>
      </c>
      <c r="D300" s="15" t="s">
        <v>685</v>
      </c>
      <c r="E300" s="13">
        <v>4</v>
      </c>
      <c r="F300" s="13">
        <v>1</v>
      </c>
      <c r="G300" s="13">
        <f t="shared" si="11"/>
        <v>0</v>
      </c>
      <c r="H300" s="13">
        <v>254</v>
      </c>
      <c r="I300" s="14">
        <f t="shared" si="12"/>
        <v>-253.9890410958904</v>
      </c>
      <c r="J300" s="15" t="s">
        <v>686</v>
      </c>
      <c r="T300" s="8"/>
      <c r="U300" s="1">
        <v>270</v>
      </c>
      <c r="V300" s="9">
        <v>270</v>
      </c>
      <c r="W300" s="8">
        <f>1000/V300</f>
        <v>3.7037037037037037</v>
      </c>
      <c r="X300" s="8">
        <f>8.33*W300</f>
        <v>30.851851851851851</v>
      </c>
      <c r="Y300" s="1">
        <v>21</v>
      </c>
      <c r="Z300" s="9">
        <v>21</v>
      </c>
      <c r="AA300" s="8">
        <f t="shared" si="13"/>
        <v>47.61904761904762</v>
      </c>
      <c r="AB300" s="8">
        <f t="shared" si="14"/>
        <v>396.66666666666669</v>
      </c>
      <c r="AC300" s="1">
        <v>27</v>
      </c>
      <c r="AD300" s="9">
        <v>27</v>
      </c>
      <c r="AE300" s="8">
        <f>1000/AD300</f>
        <v>37.037037037037038</v>
      </c>
      <c r="AF300" s="8">
        <f>8.33*AE300</f>
        <v>308.51851851851853</v>
      </c>
      <c r="AG300" s="1">
        <v>3</v>
      </c>
      <c r="AH300" s="9">
        <v>3</v>
      </c>
      <c r="AI300" s="8">
        <f>1/AH300</f>
        <v>0.33333333333333331</v>
      </c>
      <c r="AJ300" s="8">
        <f>8.33*AI300</f>
        <v>2.7766666666666664</v>
      </c>
    </row>
    <row r="301" spans="1:36" x14ac:dyDescent="0.2">
      <c r="A301">
        <v>-253</v>
      </c>
      <c r="B301" s="10" t="s">
        <v>91</v>
      </c>
      <c r="D301" s="15" t="s">
        <v>687</v>
      </c>
      <c r="E301" s="13">
        <v>27</v>
      </c>
      <c r="F301" s="13">
        <v>9</v>
      </c>
      <c r="G301" s="13">
        <f t="shared" si="11"/>
        <v>243</v>
      </c>
      <c r="H301" s="13">
        <v>254</v>
      </c>
      <c r="I301" s="14">
        <f t="shared" si="12"/>
        <v>-253.26027397260273</v>
      </c>
      <c r="J301" s="15" t="s">
        <v>688</v>
      </c>
      <c r="K301" s="2">
        <v>120</v>
      </c>
      <c r="L301" s="8">
        <v>120</v>
      </c>
      <c r="M301" s="8">
        <f>1000/L301</f>
        <v>8.3333333333333339</v>
      </c>
      <c r="N301" s="8">
        <f>8.33*M301</f>
        <v>69.416666666666671</v>
      </c>
      <c r="O301" s="8">
        <f>1.613*N301</f>
        <v>111.96908333333334</v>
      </c>
      <c r="T301" s="8"/>
      <c r="U301" s="1">
        <v>180</v>
      </c>
      <c r="V301" s="9">
        <v>180</v>
      </c>
      <c r="W301" s="8">
        <f>1000/V301</f>
        <v>5.5555555555555554</v>
      </c>
      <c r="X301" s="8">
        <f>8.33*W301</f>
        <v>46.277777777777779</v>
      </c>
      <c r="Y301" s="1">
        <v>48</v>
      </c>
      <c r="Z301" s="9">
        <v>48</v>
      </c>
      <c r="AA301" s="8">
        <f t="shared" si="13"/>
        <v>20.833333333333332</v>
      </c>
      <c r="AB301" s="8">
        <f t="shared" si="14"/>
        <v>173.54166666666666</v>
      </c>
      <c r="AC301" s="1">
        <v>13.5</v>
      </c>
      <c r="AD301" s="9">
        <v>13.5</v>
      </c>
      <c r="AE301" s="8">
        <f>1000/AD301</f>
        <v>74.074074074074076</v>
      </c>
      <c r="AF301" s="8">
        <f>8.33*AE301</f>
        <v>617.03703703703707</v>
      </c>
      <c r="AG301" s="1">
        <v>3</v>
      </c>
      <c r="AH301" s="9">
        <v>3</v>
      </c>
      <c r="AI301" s="8">
        <f>1/AH301</f>
        <v>0.33333333333333331</v>
      </c>
      <c r="AJ301" s="8">
        <f>8.33*AI301</f>
        <v>2.7766666666666664</v>
      </c>
    </row>
    <row r="302" spans="1:36" x14ac:dyDescent="0.2">
      <c r="A302">
        <v>-253</v>
      </c>
      <c r="B302" s="10" t="s">
        <v>36</v>
      </c>
      <c r="D302" s="15" t="s">
        <v>689</v>
      </c>
      <c r="E302" s="13">
        <v>25</v>
      </c>
      <c r="F302" s="13">
        <v>11</v>
      </c>
      <c r="G302" s="13">
        <f t="shared" si="11"/>
        <v>304</v>
      </c>
      <c r="H302" s="13">
        <v>254</v>
      </c>
      <c r="I302" s="14">
        <f t="shared" si="12"/>
        <v>-253.09863013698629</v>
      </c>
      <c r="J302" s="15" t="s">
        <v>690</v>
      </c>
      <c r="K302" s="2">
        <v>108</v>
      </c>
      <c r="L302" s="8">
        <v>108</v>
      </c>
      <c r="M302" s="8">
        <f>1000/L302</f>
        <v>9.2592592592592595</v>
      </c>
      <c r="N302" s="8">
        <f>8.33*M302</f>
        <v>77.129629629629633</v>
      </c>
      <c r="O302" s="8">
        <f>1.613*N302</f>
        <v>124.41009259259259</v>
      </c>
      <c r="P302" t="s">
        <v>41</v>
      </c>
      <c r="T302" s="8"/>
      <c r="W302" s="8"/>
      <c r="X302" s="8"/>
    </row>
    <row r="303" spans="1:36" x14ac:dyDescent="0.2">
      <c r="A303">
        <v>-253</v>
      </c>
      <c r="B303" s="10" t="s">
        <v>162</v>
      </c>
      <c r="D303" s="15" t="s">
        <v>691</v>
      </c>
      <c r="E303" s="13">
        <v>22</v>
      </c>
      <c r="F303" s="13">
        <v>3</v>
      </c>
      <c r="G303" s="13">
        <f t="shared" si="11"/>
        <v>59</v>
      </c>
      <c r="H303" s="13">
        <v>253</v>
      </c>
      <c r="I303" s="14">
        <f t="shared" si="12"/>
        <v>-252.77808219178081</v>
      </c>
      <c r="J303" s="15" t="s">
        <v>692</v>
      </c>
      <c r="K303" s="2"/>
      <c r="L303" s="8"/>
      <c r="T303" s="8"/>
      <c r="U303" s="1">
        <v>108</v>
      </c>
      <c r="V303" s="9">
        <v>108</v>
      </c>
      <c r="W303" s="8">
        <f>1000/V303</f>
        <v>9.2592592592592595</v>
      </c>
      <c r="X303" s="8">
        <f>8.33*W303</f>
        <v>77.129629629629633</v>
      </c>
    </row>
    <row r="304" spans="1:36" x14ac:dyDescent="0.2">
      <c r="A304">
        <v>-253</v>
      </c>
      <c r="B304" s="10" t="s">
        <v>162</v>
      </c>
      <c r="C304" s="11" t="s">
        <v>39</v>
      </c>
      <c r="D304" s="15" t="s">
        <v>691</v>
      </c>
      <c r="E304" s="13">
        <v>22</v>
      </c>
      <c r="F304" s="13">
        <v>3</v>
      </c>
      <c r="G304" s="13">
        <f t="shared" si="11"/>
        <v>59</v>
      </c>
      <c r="H304" s="13">
        <v>253</v>
      </c>
      <c r="I304" s="14">
        <f t="shared" si="12"/>
        <v>-252.77808219178081</v>
      </c>
      <c r="J304" s="15" t="s">
        <v>693</v>
      </c>
      <c r="T304" s="8"/>
      <c r="W304" s="8"/>
      <c r="X304" s="8"/>
      <c r="Y304">
        <v>60</v>
      </c>
      <c r="Z304" s="17">
        <v>60</v>
      </c>
      <c r="AA304" s="16">
        <f>1000/Z304</f>
        <v>16.666666666666668</v>
      </c>
      <c r="AB304" s="16">
        <f>8.33*AA304</f>
        <v>138.83333333333334</v>
      </c>
    </row>
    <row r="305" spans="1:36" x14ac:dyDescent="0.2">
      <c r="A305">
        <v>-253</v>
      </c>
      <c r="B305" s="10" t="s">
        <v>162</v>
      </c>
      <c r="C305" s="11" t="s">
        <v>42</v>
      </c>
      <c r="D305" s="15" t="s">
        <v>694</v>
      </c>
      <c r="E305" s="13">
        <v>1</v>
      </c>
      <c r="F305" s="13">
        <v>4</v>
      </c>
      <c r="G305" s="13">
        <f t="shared" si="11"/>
        <v>90</v>
      </c>
      <c r="H305" s="13">
        <v>253</v>
      </c>
      <c r="I305" s="14">
        <f t="shared" si="12"/>
        <v>-252.75068493150684</v>
      </c>
      <c r="J305" s="15" t="s">
        <v>695</v>
      </c>
      <c r="T305" s="8"/>
      <c r="W305" s="8"/>
      <c r="X305" s="8"/>
      <c r="Z305" s="20">
        <v>60</v>
      </c>
      <c r="AA305" s="19">
        <v>16.670000000000002</v>
      </c>
      <c r="AB305" s="19">
        <v>138.83000000000001</v>
      </c>
    </row>
    <row r="306" spans="1:36" x14ac:dyDescent="0.2">
      <c r="A306">
        <v>-253</v>
      </c>
      <c r="B306" s="10" t="s">
        <v>162</v>
      </c>
      <c r="C306" s="11" t="s">
        <v>45</v>
      </c>
      <c r="D306" s="15" t="s">
        <v>696</v>
      </c>
      <c r="E306" s="13">
        <v>11</v>
      </c>
      <c r="F306" s="13">
        <v>4</v>
      </c>
      <c r="G306" s="13">
        <f t="shared" si="11"/>
        <v>90</v>
      </c>
      <c r="H306" s="13">
        <v>253</v>
      </c>
      <c r="I306" s="14">
        <f t="shared" si="12"/>
        <v>-252.72328767123287</v>
      </c>
      <c r="J306" s="15" t="s">
        <v>692</v>
      </c>
      <c r="T306" s="8"/>
      <c r="W306" s="8"/>
      <c r="X306" s="8"/>
      <c r="Y306">
        <v>72</v>
      </c>
      <c r="Z306" s="17">
        <v>72</v>
      </c>
      <c r="AA306" s="16">
        <f>1000/Z306</f>
        <v>13.888888888888889</v>
      </c>
      <c r="AB306" s="16">
        <f>8.33*AA306</f>
        <v>115.69444444444444</v>
      </c>
    </row>
    <row r="307" spans="1:36" x14ac:dyDescent="0.2">
      <c r="A307">
        <v>-251</v>
      </c>
      <c r="B307" s="10" t="s">
        <v>91</v>
      </c>
      <c r="D307" s="15" t="s">
        <v>697</v>
      </c>
      <c r="E307" s="13">
        <v>4</v>
      </c>
      <c r="F307" s="13">
        <v>10</v>
      </c>
      <c r="G307" s="13">
        <f t="shared" si="11"/>
        <v>273</v>
      </c>
      <c r="H307" s="13">
        <v>252</v>
      </c>
      <c r="I307" s="14">
        <f t="shared" si="12"/>
        <v>-251.24109589041095</v>
      </c>
      <c r="J307" s="15" t="s">
        <v>698</v>
      </c>
      <c r="P307" s="1">
        <v>108</v>
      </c>
      <c r="Q307" s="9">
        <v>108</v>
      </c>
      <c r="R307" s="8">
        <f>1000/Q307</f>
        <v>9.2592592592592595</v>
      </c>
      <c r="S307" s="8">
        <f>8.33*R307</f>
        <v>77.129629629629633</v>
      </c>
      <c r="T307" s="8">
        <f>S307*1.33</f>
        <v>102.58240740740742</v>
      </c>
      <c r="U307" s="1">
        <v>270</v>
      </c>
      <c r="V307" s="9">
        <v>270</v>
      </c>
      <c r="W307" s="8">
        <f>1000/V307</f>
        <v>3.7037037037037037</v>
      </c>
      <c r="X307" s="8">
        <f>8.33*W307</f>
        <v>30.851851851851851</v>
      </c>
      <c r="Y307" s="1">
        <v>90</v>
      </c>
      <c r="Z307" s="9">
        <v>90</v>
      </c>
      <c r="AA307" s="8">
        <f>1000/Z307</f>
        <v>11.111111111111111</v>
      </c>
      <c r="AB307" s="8">
        <f>8.33*AA307</f>
        <v>92.555555555555557</v>
      </c>
      <c r="AC307" s="1">
        <v>66</v>
      </c>
      <c r="AD307" s="9">
        <v>66</v>
      </c>
      <c r="AE307" s="8">
        <f>1000/AD307</f>
        <v>15.151515151515152</v>
      </c>
      <c r="AF307" s="8">
        <f>8.33*AE307</f>
        <v>126.21212121212122</v>
      </c>
      <c r="AG307" s="1" t="s">
        <v>41</v>
      </c>
    </row>
    <row r="308" spans="1:36" x14ac:dyDescent="0.2">
      <c r="A308">
        <v>-251</v>
      </c>
      <c r="B308" s="10" t="s">
        <v>91</v>
      </c>
      <c r="C308" s="11" t="s">
        <v>39</v>
      </c>
      <c r="D308" s="15" t="s">
        <v>697</v>
      </c>
      <c r="E308" s="13">
        <v>4</v>
      </c>
      <c r="F308" s="13">
        <v>10</v>
      </c>
      <c r="G308" s="13">
        <f t="shared" si="11"/>
        <v>273</v>
      </c>
      <c r="H308" s="13">
        <v>252</v>
      </c>
      <c r="I308" s="14">
        <f t="shared" si="12"/>
        <v>-251.24109589041095</v>
      </c>
      <c r="J308" s="15" t="s">
        <v>699</v>
      </c>
      <c r="K308" s="10">
        <v>240</v>
      </c>
      <c r="L308" s="16">
        <v>240</v>
      </c>
      <c r="M308" s="16">
        <f>1000/L308</f>
        <v>4.166666666666667</v>
      </c>
      <c r="N308" s="16">
        <f>8.33*M308</f>
        <v>34.708333333333336</v>
      </c>
      <c r="O308" s="16">
        <f>1.613*N308</f>
        <v>55.984541666666672</v>
      </c>
      <c r="T308" s="8"/>
      <c r="W308" s="8"/>
      <c r="X308" s="8"/>
      <c r="AA308" s="8"/>
      <c r="AB308" s="8"/>
      <c r="AE308" s="8"/>
      <c r="AF308" s="8"/>
      <c r="AH308" s="9"/>
    </row>
    <row r="309" spans="1:36" x14ac:dyDescent="0.2">
      <c r="A309">
        <v>-251</v>
      </c>
      <c r="B309" s="10" t="s">
        <v>91</v>
      </c>
      <c r="C309" s="11" t="s">
        <v>42</v>
      </c>
      <c r="D309" s="15" t="s">
        <v>700</v>
      </c>
      <c r="E309" s="13">
        <v>14</v>
      </c>
      <c r="F309" s="13">
        <v>10</v>
      </c>
      <c r="G309" s="13">
        <f t="shared" si="11"/>
        <v>273</v>
      </c>
      <c r="H309" s="13">
        <v>252</v>
      </c>
      <c r="I309" s="14">
        <f t="shared" si="12"/>
        <v>-251.21369863013697</v>
      </c>
      <c r="J309" s="15" t="s">
        <v>701</v>
      </c>
      <c r="L309" s="19">
        <v>240</v>
      </c>
      <c r="M309" s="19">
        <v>4.17</v>
      </c>
      <c r="N309" s="19">
        <v>34.71</v>
      </c>
      <c r="O309" s="19">
        <v>55.98</v>
      </c>
      <c r="T309" s="8"/>
      <c r="W309" s="8"/>
      <c r="X309" s="8"/>
      <c r="AA309" s="8"/>
      <c r="AB309" s="8"/>
      <c r="AE309" s="8"/>
      <c r="AF309" s="8"/>
    </row>
    <row r="310" spans="1:36" x14ac:dyDescent="0.2">
      <c r="A310">
        <v>-251</v>
      </c>
      <c r="B310" s="10" t="s">
        <v>91</v>
      </c>
      <c r="C310" s="11" t="s">
        <v>45</v>
      </c>
      <c r="D310" s="15" t="s">
        <v>702</v>
      </c>
      <c r="E310" s="13">
        <v>24</v>
      </c>
      <c r="F310" s="13">
        <v>10</v>
      </c>
      <c r="G310" s="13">
        <f t="shared" si="11"/>
        <v>273</v>
      </c>
      <c r="H310" s="13">
        <v>252</v>
      </c>
      <c r="I310" s="14">
        <f t="shared" si="12"/>
        <v>-251.186301369863</v>
      </c>
      <c r="J310" s="15" t="s">
        <v>698</v>
      </c>
      <c r="K310" s="10" t="s">
        <v>703</v>
      </c>
      <c r="L310" s="16">
        <v>237</v>
      </c>
      <c r="M310" s="16">
        <f>1000/L310</f>
        <v>4.2194092827004219</v>
      </c>
      <c r="N310" s="16">
        <f>8.33*M310</f>
        <v>35.147679324894511</v>
      </c>
      <c r="O310" s="16">
        <f>1.613*N310</f>
        <v>56.693206751054845</v>
      </c>
      <c r="T310" s="8"/>
      <c r="W310" s="8"/>
      <c r="X310" s="8"/>
      <c r="AA310" s="8"/>
      <c r="AB310" s="8"/>
      <c r="AE310" s="8"/>
      <c r="AF310" s="8"/>
    </row>
    <row r="311" spans="1:36" x14ac:dyDescent="0.2">
      <c r="A311">
        <v>-251</v>
      </c>
      <c r="B311" s="10" t="s">
        <v>127</v>
      </c>
      <c r="D311" s="15" t="s">
        <v>704</v>
      </c>
      <c r="E311" s="13">
        <v>1</v>
      </c>
      <c r="F311" s="13">
        <v>3</v>
      </c>
      <c r="G311" s="13">
        <f t="shared" si="11"/>
        <v>59</v>
      </c>
      <c r="H311" s="13">
        <v>251</v>
      </c>
      <c r="I311" s="14">
        <f t="shared" si="12"/>
        <v>-250.83561643835617</v>
      </c>
      <c r="J311" s="15" t="s">
        <v>705</v>
      </c>
      <c r="K311" s="10" t="s">
        <v>41</v>
      </c>
      <c r="T311" s="8"/>
      <c r="U311" s="1">
        <v>300</v>
      </c>
      <c r="V311" s="9">
        <v>300</v>
      </c>
      <c r="W311" s="8">
        <f>1000/V311</f>
        <v>3.3333333333333335</v>
      </c>
      <c r="X311" s="8">
        <f>8.33*W311</f>
        <v>27.766666666666669</v>
      </c>
      <c r="Y311" s="1">
        <v>78</v>
      </c>
      <c r="Z311" s="9">
        <v>78</v>
      </c>
      <c r="AA311" s="8">
        <f>1000/Z311</f>
        <v>12.820512820512821</v>
      </c>
      <c r="AB311" s="8">
        <f>8.33*AA311</f>
        <v>106.7948717948718</v>
      </c>
      <c r="AC311" s="1">
        <v>72</v>
      </c>
      <c r="AD311" s="9">
        <v>72</v>
      </c>
      <c r="AE311" s="8">
        <f>1000/AD311</f>
        <v>13.888888888888889</v>
      </c>
      <c r="AF311" s="8">
        <f>8.33*AE311</f>
        <v>115.69444444444444</v>
      </c>
      <c r="AG311" s="1">
        <v>2.5</v>
      </c>
      <c r="AH311" s="9">
        <v>2.5</v>
      </c>
      <c r="AI311" s="8">
        <f>1/AH311</f>
        <v>0.4</v>
      </c>
      <c r="AJ311" s="8">
        <f>8.33*AI311</f>
        <v>3.3320000000000003</v>
      </c>
    </row>
    <row r="312" spans="1:36" x14ac:dyDescent="0.2">
      <c r="A312">
        <v>-249</v>
      </c>
      <c r="B312" s="10" t="s">
        <v>130</v>
      </c>
      <c r="D312" s="15" t="s">
        <v>706</v>
      </c>
      <c r="E312" s="13">
        <v>15</v>
      </c>
      <c r="F312" s="13">
        <v>6</v>
      </c>
      <c r="G312" s="13">
        <f t="shared" si="11"/>
        <v>151</v>
      </c>
      <c r="H312" s="13">
        <v>250</v>
      </c>
      <c r="I312" s="14">
        <f t="shared" si="12"/>
        <v>-249.54520547945205</v>
      </c>
      <c r="J312" s="15" t="s">
        <v>707</v>
      </c>
      <c r="T312" s="8"/>
      <c r="W312" s="8"/>
      <c r="X312" s="8"/>
      <c r="Y312" s="1">
        <v>60</v>
      </c>
      <c r="Z312" s="9">
        <v>60</v>
      </c>
      <c r="AA312" s="8">
        <f>1000/Z312</f>
        <v>16.666666666666668</v>
      </c>
      <c r="AB312" s="8">
        <f>8.33*AA312</f>
        <v>138.83333333333334</v>
      </c>
      <c r="AC312" s="1">
        <v>30</v>
      </c>
      <c r="AD312" s="9">
        <v>30</v>
      </c>
      <c r="AE312" s="8">
        <f>1000/AD312</f>
        <v>33.333333333333336</v>
      </c>
      <c r="AF312" s="8">
        <f>8.33*AE312</f>
        <v>277.66666666666669</v>
      </c>
      <c r="AG312" s="1">
        <v>3</v>
      </c>
      <c r="AH312" s="9">
        <v>3</v>
      </c>
      <c r="AI312" s="8">
        <f>1/AH312</f>
        <v>0.33333333333333331</v>
      </c>
      <c r="AJ312" s="8">
        <f>8.33*AI312</f>
        <v>2.7766666666666664</v>
      </c>
    </row>
    <row r="313" spans="1:36" x14ac:dyDescent="0.2">
      <c r="A313">
        <v>-249</v>
      </c>
      <c r="B313" s="10" t="s">
        <v>285</v>
      </c>
      <c r="C313" s="11" t="s">
        <v>39</v>
      </c>
      <c r="D313" s="15" t="s">
        <v>708</v>
      </c>
      <c r="E313" s="13">
        <v>14</v>
      </c>
      <c r="F313" s="13">
        <v>8</v>
      </c>
      <c r="G313" s="13">
        <f t="shared" si="11"/>
        <v>212</v>
      </c>
      <c r="H313" s="13">
        <v>250</v>
      </c>
      <c r="I313" s="14">
        <f t="shared" si="12"/>
        <v>-249.38082191780822</v>
      </c>
      <c r="J313" s="15" t="s">
        <v>709</v>
      </c>
      <c r="K313" s="10" t="s">
        <v>710</v>
      </c>
      <c r="L313" s="19">
        <v>180</v>
      </c>
      <c r="M313" s="19">
        <f>1000/L313</f>
        <v>5.5555555555555554</v>
      </c>
      <c r="N313" s="19">
        <f>8.33*M313</f>
        <v>46.277777777777779</v>
      </c>
      <c r="O313" s="19">
        <f>1.613*N313</f>
        <v>74.646055555555563</v>
      </c>
      <c r="T313" s="8"/>
      <c r="W313" s="8"/>
      <c r="X313" s="8"/>
      <c r="AA313" s="8"/>
      <c r="AB313" s="8"/>
      <c r="AE313" s="8"/>
      <c r="AF313" s="8"/>
    </row>
    <row r="314" spans="1:36" x14ac:dyDescent="0.2">
      <c r="A314">
        <v>-249</v>
      </c>
      <c r="B314" s="10" t="s">
        <v>285</v>
      </c>
      <c r="C314" s="11" t="s">
        <v>42</v>
      </c>
      <c r="D314" s="15" t="s">
        <v>711</v>
      </c>
      <c r="E314" s="13">
        <v>24</v>
      </c>
      <c r="F314" s="13">
        <v>8</v>
      </c>
      <c r="G314" s="13">
        <f t="shared" si="11"/>
        <v>212</v>
      </c>
      <c r="H314" s="13">
        <v>250</v>
      </c>
      <c r="I314" s="14">
        <f t="shared" si="12"/>
        <v>-249.35342465753425</v>
      </c>
      <c r="J314" s="15" t="s">
        <v>712</v>
      </c>
      <c r="L314" s="19">
        <v>180</v>
      </c>
      <c r="M314" s="16">
        <v>5.56</v>
      </c>
      <c r="N314" s="19">
        <v>46.28</v>
      </c>
      <c r="O314" s="19">
        <v>74.650000000000006</v>
      </c>
      <c r="T314" s="8"/>
      <c r="W314" s="8"/>
      <c r="X314" s="8"/>
      <c r="AA314" s="8"/>
      <c r="AB314" s="8"/>
      <c r="AE314" s="8"/>
      <c r="AF314" s="8"/>
    </row>
    <row r="315" spans="1:36" x14ac:dyDescent="0.2">
      <c r="A315">
        <v>-249</v>
      </c>
      <c r="B315" s="10" t="s">
        <v>285</v>
      </c>
      <c r="C315" s="11" t="s">
        <v>45</v>
      </c>
      <c r="D315" s="15" t="s">
        <v>713</v>
      </c>
      <c r="E315" s="13">
        <v>3</v>
      </c>
      <c r="F315" s="13">
        <v>9</v>
      </c>
      <c r="G315" s="13">
        <f t="shared" si="11"/>
        <v>243</v>
      </c>
      <c r="H315" s="13">
        <v>250</v>
      </c>
      <c r="I315" s="14">
        <f t="shared" si="12"/>
        <v>-249.32602739726028</v>
      </c>
      <c r="J315" s="15" t="s">
        <v>714</v>
      </c>
      <c r="K315" s="10" t="s">
        <v>715</v>
      </c>
      <c r="T315" s="8"/>
      <c r="W315" s="8"/>
      <c r="X315" s="8"/>
      <c r="AA315" s="8"/>
      <c r="AB315" s="8"/>
      <c r="AE315" s="8"/>
      <c r="AF315" s="8"/>
    </row>
    <row r="316" spans="1:36" x14ac:dyDescent="0.2">
      <c r="A316">
        <v>-249</v>
      </c>
      <c r="B316" s="10" t="s">
        <v>36</v>
      </c>
      <c r="D316" s="15" t="s">
        <v>716</v>
      </c>
      <c r="E316" s="13">
        <v>11</v>
      </c>
      <c r="F316" s="13">
        <v>12</v>
      </c>
      <c r="G316" s="13">
        <f t="shared" si="11"/>
        <v>334</v>
      </c>
      <c r="H316" s="13">
        <v>250</v>
      </c>
      <c r="I316" s="14">
        <f t="shared" si="12"/>
        <v>-249.05479452054794</v>
      </c>
      <c r="J316" s="15" t="s">
        <v>717</v>
      </c>
      <c r="T316" s="8"/>
      <c r="W316" s="8"/>
      <c r="X316" s="8"/>
      <c r="AA316" s="8"/>
      <c r="AB316" s="8"/>
      <c r="AC316" s="1">
        <v>30</v>
      </c>
      <c r="AD316" s="9">
        <v>30</v>
      </c>
      <c r="AE316" s="8">
        <f>1000/AD316</f>
        <v>33.333333333333336</v>
      </c>
      <c r="AF316" s="8">
        <f>8.33*AE316</f>
        <v>277.66666666666669</v>
      </c>
      <c r="AG316" s="1">
        <v>3</v>
      </c>
      <c r="AH316" s="9">
        <v>3</v>
      </c>
      <c r="AI316" s="8">
        <f>1/AH316</f>
        <v>0.33333333333333331</v>
      </c>
      <c r="AJ316" s="8">
        <f>8.33*AI316</f>
        <v>2.7766666666666664</v>
      </c>
    </row>
    <row r="317" spans="1:36" x14ac:dyDescent="0.2">
      <c r="A317">
        <v>-249</v>
      </c>
      <c r="B317" s="10" t="s">
        <v>75</v>
      </c>
      <c r="D317" s="15" t="s">
        <v>718</v>
      </c>
      <c r="E317" s="13">
        <v>9</v>
      </c>
      <c r="F317" s="13">
        <v>1</v>
      </c>
      <c r="G317" s="13">
        <f t="shared" si="11"/>
        <v>0</v>
      </c>
      <c r="H317" s="13">
        <v>249</v>
      </c>
      <c r="I317" s="14">
        <f t="shared" si="12"/>
        <v>-248.97534246575341</v>
      </c>
      <c r="J317" s="15" t="s">
        <v>719</v>
      </c>
      <c r="T317" s="8"/>
      <c r="U317" s="1">
        <v>360</v>
      </c>
      <c r="V317" s="9">
        <v>360</v>
      </c>
      <c r="W317" s="8">
        <f>1000/V317</f>
        <v>2.7777777777777777</v>
      </c>
      <c r="X317" s="8">
        <f>8.33*W317</f>
        <v>23.138888888888889</v>
      </c>
      <c r="Y317" s="1" t="s">
        <v>720</v>
      </c>
      <c r="Z317" s="21">
        <v>60</v>
      </c>
      <c r="AA317" s="22">
        <f>1000/Z317</f>
        <v>16.666666666666668</v>
      </c>
      <c r="AB317" s="22">
        <f>8.33*AA317</f>
        <v>138.83333333333334</v>
      </c>
      <c r="AC317" t="s">
        <v>41</v>
      </c>
      <c r="AE317" s="8"/>
      <c r="AF317" s="8"/>
    </row>
    <row r="318" spans="1:36" x14ac:dyDescent="0.2">
      <c r="A318">
        <v>-249</v>
      </c>
      <c r="B318" s="10" t="s">
        <v>83</v>
      </c>
      <c r="D318" s="15" t="s">
        <v>721</v>
      </c>
      <c r="E318" s="13">
        <v>8</v>
      </c>
      <c r="F318" s="13">
        <v>2</v>
      </c>
      <c r="G318" s="13">
        <f t="shared" si="11"/>
        <v>31</v>
      </c>
      <c r="H318" s="13">
        <v>249</v>
      </c>
      <c r="I318" s="14">
        <f t="shared" si="12"/>
        <v>-248.8931506849315</v>
      </c>
      <c r="J318" s="15" t="s">
        <v>722</v>
      </c>
      <c r="T318" s="8"/>
      <c r="U318" s="1" t="s">
        <v>723</v>
      </c>
      <c r="V318" s="21">
        <v>420</v>
      </c>
      <c r="W318" s="22">
        <v>2.38</v>
      </c>
      <c r="X318" s="22">
        <v>19.829999999999998</v>
      </c>
      <c r="Y318" s="1"/>
      <c r="Z318" s="21"/>
      <c r="AA318" s="8"/>
      <c r="AB318" s="8"/>
      <c r="AC318" s="1">
        <v>30</v>
      </c>
      <c r="AD318" s="9">
        <v>30</v>
      </c>
      <c r="AE318" s="8">
        <f>1000/AD318</f>
        <v>33.333333333333336</v>
      </c>
      <c r="AF318" s="8">
        <f>8.33*AE318</f>
        <v>277.66666666666669</v>
      </c>
    </row>
    <row r="319" spans="1:36" x14ac:dyDescent="0.2">
      <c r="A319">
        <v>-249</v>
      </c>
      <c r="B319" s="10" t="s">
        <v>83</v>
      </c>
      <c r="C319" s="11" t="s">
        <v>39</v>
      </c>
      <c r="D319" s="15" t="s">
        <v>721</v>
      </c>
      <c r="E319" s="13">
        <v>8</v>
      </c>
      <c r="F319" s="13">
        <v>2</v>
      </c>
      <c r="G319" s="13">
        <f t="shared" si="11"/>
        <v>31</v>
      </c>
      <c r="H319" s="13">
        <v>249</v>
      </c>
      <c r="I319" s="14">
        <f t="shared" si="12"/>
        <v>-248.8931506849315</v>
      </c>
      <c r="J319" s="15" t="s">
        <v>724</v>
      </c>
      <c r="T319" s="8"/>
      <c r="V319" s="20"/>
      <c r="W319" s="19"/>
      <c r="X319" s="19"/>
      <c r="AA319" s="8"/>
      <c r="AB319" s="8"/>
      <c r="AE319" s="8"/>
      <c r="AF319" s="8"/>
      <c r="AG319" t="s">
        <v>41</v>
      </c>
    </row>
    <row r="320" spans="1:36" x14ac:dyDescent="0.2">
      <c r="A320">
        <v>-249</v>
      </c>
      <c r="B320" s="10" t="s">
        <v>83</v>
      </c>
      <c r="C320" s="11" t="s">
        <v>42</v>
      </c>
      <c r="D320" s="15" t="s">
        <v>725</v>
      </c>
      <c r="E320" s="13">
        <v>18</v>
      </c>
      <c r="F320" s="13">
        <v>2</v>
      </c>
      <c r="G320" s="13">
        <f t="shared" si="11"/>
        <v>31</v>
      </c>
      <c r="H320" s="13">
        <v>249</v>
      </c>
      <c r="I320" s="14">
        <f t="shared" si="12"/>
        <v>-248.86575342465753</v>
      </c>
      <c r="J320" s="15" t="s">
        <v>726</v>
      </c>
      <c r="T320" s="8"/>
      <c r="AA320" s="8"/>
      <c r="AB320" s="8"/>
      <c r="AE320" s="8"/>
      <c r="AF320" s="8"/>
    </row>
    <row r="321" spans="1:37" x14ac:dyDescent="0.2">
      <c r="A321">
        <v>-249</v>
      </c>
      <c r="B321" s="10" t="s">
        <v>83</v>
      </c>
      <c r="C321" s="11" t="s">
        <v>45</v>
      </c>
      <c r="D321" s="15" t="s">
        <v>727</v>
      </c>
      <c r="E321" s="13">
        <v>28</v>
      </c>
      <c r="F321" s="13">
        <v>2</v>
      </c>
      <c r="G321" s="13">
        <f t="shared" si="11"/>
        <v>31</v>
      </c>
      <c r="H321" s="13">
        <v>249</v>
      </c>
      <c r="I321" s="14">
        <f t="shared" si="12"/>
        <v>-248.83835616438355</v>
      </c>
      <c r="J321" s="15" t="s">
        <v>722</v>
      </c>
      <c r="P321">
        <v>120</v>
      </c>
      <c r="Q321" s="17">
        <v>120</v>
      </c>
      <c r="R321" s="16">
        <f>1000/Q321</f>
        <v>8.3333333333333339</v>
      </c>
      <c r="S321" s="16">
        <f>8.33*R321</f>
        <v>69.416666666666671</v>
      </c>
      <c r="T321" s="16">
        <f>S321*1.33</f>
        <v>92.324166666666684</v>
      </c>
      <c r="AA321" s="8"/>
      <c r="AB321" s="8"/>
      <c r="AE321" s="8"/>
      <c r="AF321" s="8"/>
    </row>
    <row r="322" spans="1:37" x14ac:dyDescent="0.2">
      <c r="A322">
        <v>-249</v>
      </c>
      <c r="B322" s="10" t="s">
        <v>127</v>
      </c>
      <c r="D322" s="15" t="s">
        <v>728</v>
      </c>
      <c r="E322" s="13">
        <v>8</v>
      </c>
      <c r="F322" s="13">
        <v>3</v>
      </c>
      <c r="G322" s="13">
        <f t="shared" ref="G322:G385" si="15">INDEX(A$1502:A$1513,F322)</f>
        <v>59</v>
      </c>
      <c r="H322" s="13">
        <v>249</v>
      </c>
      <c r="I322" s="14">
        <f t="shared" si="12"/>
        <v>-248.81643835616438</v>
      </c>
      <c r="J322" s="15" t="s">
        <v>729</v>
      </c>
      <c r="T322" s="8"/>
      <c r="U322" s="1">
        <v>450</v>
      </c>
      <c r="V322" s="9">
        <v>450</v>
      </c>
      <c r="W322" s="8">
        <f>1000/V322</f>
        <v>2.2222222222222223</v>
      </c>
      <c r="X322" s="8">
        <f>8.33*W322</f>
        <v>18.511111111111113</v>
      </c>
      <c r="Y322" s="1">
        <v>60</v>
      </c>
      <c r="Z322" s="9">
        <v>60</v>
      </c>
      <c r="AA322" s="8">
        <f>1000/Z322</f>
        <v>16.666666666666668</v>
      </c>
      <c r="AB322" s="8">
        <f>8.33*AA322</f>
        <v>138.83333333333334</v>
      </c>
      <c r="AC322" s="1">
        <v>30</v>
      </c>
      <c r="AD322" s="9">
        <v>30</v>
      </c>
      <c r="AE322" s="8">
        <f>1000/AD322</f>
        <v>33.333333333333336</v>
      </c>
      <c r="AF322" s="8">
        <f>8.33*AE322</f>
        <v>277.66666666666669</v>
      </c>
      <c r="AG322" s="1" t="s">
        <v>41</v>
      </c>
    </row>
    <row r="323" spans="1:37" x14ac:dyDescent="0.2">
      <c r="A323">
        <v>-249</v>
      </c>
      <c r="B323" s="10" t="s">
        <v>127</v>
      </c>
      <c r="C323" s="11" t="s">
        <v>39</v>
      </c>
      <c r="D323" s="15" t="s">
        <v>728</v>
      </c>
      <c r="E323" s="13">
        <v>8</v>
      </c>
      <c r="F323" s="13">
        <v>3</v>
      </c>
      <c r="G323" s="13">
        <f t="shared" si="15"/>
        <v>59</v>
      </c>
      <c r="H323" s="13">
        <v>249</v>
      </c>
      <c r="I323" s="14">
        <f t="shared" ref="I323:I386" si="16">($E323+$G323)/365-$H323</f>
        <v>-248.81643835616438</v>
      </c>
      <c r="J323" s="15" t="s">
        <v>730</v>
      </c>
      <c r="K323" s="10">
        <v>114</v>
      </c>
      <c r="L323" s="16">
        <v>114</v>
      </c>
      <c r="M323" s="16">
        <f>1000/L323</f>
        <v>8.7719298245614041</v>
      </c>
      <c r="N323" s="16">
        <f>8.33*M323</f>
        <v>73.070175438596493</v>
      </c>
      <c r="O323" s="16">
        <f>1.613*N323</f>
        <v>117.86219298245614</v>
      </c>
      <c r="T323" s="8"/>
      <c r="AH323" s="9"/>
    </row>
    <row r="324" spans="1:37" x14ac:dyDescent="0.2">
      <c r="A324">
        <v>-249</v>
      </c>
      <c r="B324" s="10" t="s">
        <v>127</v>
      </c>
      <c r="C324" s="11" t="s">
        <v>42</v>
      </c>
      <c r="D324" s="15" t="s">
        <v>731</v>
      </c>
      <c r="E324" s="13">
        <v>18</v>
      </c>
      <c r="F324" s="13">
        <v>3</v>
      </c>
      <c r="G324" s="13">
        <f t="shared" si="15"/>
        <v>59</v>
      </c>
      <c r="H324" s="13">
        <v>249</v>
      </c>
      <c r="I324" s="14">
        <f t="shared" si="16"/>
        <v>-248.78904109589041</v>
      </c>
      <c r="J324" s="15" t="s">
        <v>732</v>
      </c>
      <c r="T324" s="8"/>
    </row>
    <row r="325" spans="1:37" x14ac:dyDescent="0.2">
      <c r="A325">
        <v>-249</v>
      </c>
      <c r="B325" s="10" t="s">
        <v>127</v>
      </c>
      <c r="C325" s="11" t="s">
        <v>45</v>
      </c>
      <c r="D325" s="15" t="s">
        <v>733</v>
      </c>
      <c r="E325" s="13">
        <v>28</v>
      </c>
      <c r="F325" s="13">
        <v>3</v>
      </c>
      <c r="G325" s="13">
        <f t="shared" si="15"/>
        <v>59</v>
      </c>
      <c r="H325" s="13">
        <v>249</v>
      </c>
      <c r="I325" s="14">
        <f t="shared" si="16"/>
        <v>-248.76164383561644</v>
      </c>
      <c r="J325" s="15" t="s">
        <v>729</v>
      </c>
      <c r="K325" s="10">
        <v>108</v>
      </c>
      <c r="L325" s="16">
        <v>108</v>
      </c>
      <c r="M325" s="16">
        <f t="shared" ref="M325:M330" si="17">1000/L325</f>
        <v>9.2592592592592595</v>
      </c>
      <c r="N325" s="16">
        <f t="shared" ref="N325:N330" si="18">8.33*M325</f>
        <v>77.129629629629633</v>
      </c>
      <c r="O325" s="16">
        <f t="shared" ref="O325:O330" si="19">1.613*N325</f>
        <v>124.41009259259259</v>
      </c>
      <c r="P325" t="s">
        <v>734</v>
      </c>
      <c r="Q325" s="20">
        <v>105</v>
      </c>
      <c r="R325" s="19">
        <f>1000/Q325</f>
        <v>9.5238095238095237</v>
      </c>
      <c r="S325" s="19">
        <f>8.33*R325</f>
        <v>79.333333333333329</v>
      </c>
      <c r="T325" s="16">
        <f>S325*1.33</f>
        <v>105.51333333333334</v>
      </c>
      <c r="AK325" t="s">
        <v>735</v>
      </c>
    </row>
    <row r="326" spans="1:37" x14ac:dyDescent="0.2">
      <c r="A326">
        <v>-247</v>
      </c>
      <c r="B326" s="10" t="s">
        <v>91</v>
      </c>
      <c r="D326" s="15" t="s">
        <v>736</v>
      </c>
      <c r="E326" s="13">
        <v>20</v>
      </c>
      <c r="F326" s="13">
        <v>9</v>
      </c>
      <c r="G326" s="13">
        <f t="shared" si="15"/>
        <v>243</v>
      </c>
      <c r="H326" s="13">
        <v>248</v>
      </c>
      <c r="I326" s="14">
        <f t="shared" si="16"/>
        <v>-247.27945205479452</v>
      </c>
      <c r="J326" s="15" t="s">
        <v>737</v>
      </c>
      <c r="K326" s="2">
        <v>45</v>
      </c>
      <c r="L326" s="8">
        <v>45</v>
      </c>
      <c r="M326" s="8">
        <f t="shared" si="17"/>
        <v>22.222222222222221</v>
      </c>
      <c r="N326" s="8">
        <f t="shared" si="18"/>
        <v>185.11111111111111</v>
      </c>
      <c r="O326" s="8">
        <f t="shared" si="19"/>
        <v>298.58422222222225</v>
      </c>
      <c r="P326" s="1">
        <v>120</v>
      </c>
      <c r="Q326" s="9">
        <v>120</v>
      </c>
      <c r="R326" s="8">
        <f>1000/Q326</f>
        <v>8.3333333333333339</v>
      </c>
      <c r="S326" s="8">
        <f>8.33*R326</f>
        <v>69.416666666666671</v>
      </c>
      <c r="T326" s="8">
        <f>S326*1.33</f>
        <v>92.324166666666684</v>
      </c>
      <c r="U326" s="1">
        <v>450</v>
      </c>
      <c r="V326" s="9">
        <v>450</v>
      </c>
      <c r="W326" s="8">
        <f>1000/V326</f>
        <v>2.2222222222222223</v>
      </c>
      <c r="X326" s="8">
        <f>8.33*W326</f>
        <v>18.511111111111113</v>
      </c>
      <c r="Y326" s="1" t="s">
        <v>41</v>
      </c>
      <c r="Z326" s="9"/>
      <c r="AA326" s="8"/>
      <c r="AB326" s="8"/>
      <c r="AC326" s="1"/>
      <c r="AD326" s="9"/>
      <c r="AE326" s="8"/>
      <c r="AF326" s="8"/>
    </row>
    <row r="327" spans="1:37" x14ac:dyDescent="0.2">
      <c r="A327">
        <v>-247</v>
      </c>
      <c r="B327" s="10" t="s">
        <v>75</v>
      </c>
      <c r="D327" s="15" t="s">
        <v>738</v>
      </c>
      <c r="E327" s="13">
        <v>18</v>
      </c>
      <c r="F327" s="13">
        <v>12</v>
      </c>
      <c r="G327" s="13">
        <f t="shared" si="15"/>
        <v>334</v>
      </c>
      <c r="H327" s="13">
        <v>248</v>
      </c>
      <c r="I327" s="14">
        <f t="shared" si="16"/>
        <v>-247.03561643835616</v>
      </c>
      <c r="J327" s="15" t="s">
        <v>739</v>
      </c>
      <c r="K327" s="2">
        <v>150</v>
      </c>
      <c r="L327" s="8">
        <v>150</v>
      </c>
      <c r="M327" s="8">
        <f t="shared" si="17"/>
        <v>6.666666666666667</v>
      </c>
      <c r="N327" s="8">
        <f t="shared" si="18"/>
        <v>55.533333333333339</v>
      </c>
      <c r="O327" s="8">
        <f t="shared" si="19"/>
        <v>89.575266666666678</v>
      </c>
      <c r="P327" s="1">
        <v>135</v>
      </c>
      <c r="Q327" s="9">
        <v>135</v>
      </c>
      <c r="R327" s="8">
        <f>1000/Q327</f>
        <v>7.4074074074074074</v>
      </c>
      <c r="S327" s="8">
        <f>8.33*R327</f>
        <v>61.703703703703702</v>
      </c>
      <c r="T327" s="8">
        <f>S327*1.33</f>
        <v>82.065925925925924</v>
      </c>
      <c r="U327" s="1">
        <v>540</v>
      </c>
      <c r="V327" s="9">
        <v>540</v>
      </c>
      <c r="W327" s="8">
        <f>1000/V327</f>
        <v>1.8518518518518519</v>
      </c>
      <c r="X327" s="8">
        <f>8.33*W327</f>
        <v>15.425925925925926</v>
      </c>
      <c r="Y327" s="1">
        <v>102</v>
      </c>
      <c r="Z327" s="9">
        <v>102</v>
      </c>
      <c r="AA327" s="8">
        <f>1000/Z327</f>
        <v>9.8039215686274517</v>
      </c>
      <c r="AB327" s="8">
        <f>8.33*AA327</f>
        <v>81.666666666666671</v>
      </c>
      <c r="AC327" s="1">
        <v>36</v>
      </c>
      <c r="AD327" s="9">
        <v>36</v>
      </c>
      <c r="AE327" s="8">
        <f>1000/AD327</f>
        <v>27.777777777777779</v>
      </c>
      <c r="AF327" s="8">
        <f>8.33*AE327</f>
        <v>231.38888888888889</v>
      </c>
      <c r="AG327" s="1">
        <v>5</v>
      </c>
      <c r="AH327" s="9">
        <v>5</v>
      </c>
      <c r="AI327" s="8">
        <f>1/AH327</f>
        <v>0.2</v>
      </c>
      <c r="AJ327" s="8">
        <f>8.33*AI327</f>
        <v>1.6660000000000001</v>
      </c>
    </row>
    <row r="328" spans="1:37" x14ac:dyDescent="0.2">
      <c r="A328">
        <v>-247</v>
      </c>
      <c r="B328" s="10" t="s">
        <v>83</v>
      </c>
      <c r="D328" s="15" t="s">
        <v>740</v>
      </c>
      <c r="E328" s="13">
        <v>16</v>
      </c>
      <c r="F328" s="13">
        <v>1</v>
      </c>
      <c r="G328" s="13">
        <f t="shared" si="15"/>
        <v>0</v>
      </c>
      <c r="H328" s="13">
        <v>247</v>
      </c>
      <c r="I328" s="14">
        <f t="shared" si="16"/>
        <v>-246.95616438356166</v>
      </c>
      <c r="J328" s="15" t="s">
        <v>741</v>
      </c>
      <c r="K328" s="2">
        <v>132</v>
      </c>
      <c r="L328" s="8">
        <v>132</v>
      </c>
      <c r="M328" s="8">
        <f t="shared" si="17"/>
        <v>7.5757575757575761</v>
      </c>
      <c r="N328" s="8">
        <f t="shared" si="18"/>
        <v>63.106060606060609</v>
      </c>
      <c r="O328" s="8">
        <f t="shared" si="19"/>
        <v>101.79007575757576</v>
      </c>
      <c r="P328" t="s">
        <v>41</v>
      </c>
      <c r="T328" s="8"/>
      <c r="AG328" s="1" t="s">
        <v>612</v>
      </c>
      <c r="AH328" s="21">
        <v>5</v>
      </c>
      <c r="AI328" s="22">
        <f>1/AH328</f>
        <v>0.2</v>
      </c>
      <c r="AJ328" s="19">
        <f>8.33*AI328</f>
        <v>1.6660000000000001</v>
      </c>
    </row>
    <row r="329" spans="1:37" x14ac:dyDescent="0.2">
      <c r="A329">
        <v>-247</v>
      </c>
      <c r="B329" s="10" t="s">
        <v>162</v>
      </c>
      <c r="C329" s="11" t="s">
        <v>39</v>
      </c>
      <c r="D329" s="15" t="s">
        <v>742</v>
      </c>
      <c r="E329" s="13">
        <v>17</v>
      </c>
      <c r="F329" s="13">
        <v>3</v>
      </c>
      <c r="G329" s="13">
        <f t="shared" si="15"/>
        <v>59</v>
      </c>
      <c r="H329" s="13">
        <v>247</v>
      </c>
      <c r="I329" s="14">
        <f t="shared" si="16"/>
        <v>-246.7917808219178</v>
      </c>
      <c r="J329" s="15" t="s">
        <v>743</v>
      </c>
      <c r="K329" s="10">
        <v>198</v>
      </c>
      <c r="L329" s="16">
        <v>198</v>
      </c>
      <c r="M329" s="16">
        <f t="shared" si="17"/>
        <v>5.0505050505050502</v>
      </c>
      <c r="N329" s="16">
        <f t="shared" si="18"/>
        <v>42.070707070707066</v>
      </c>
      <c r="O329" s="16">
        <f t="shared" si="19"/>
        <v>67.860050505050495</v>
      </c>
      <c r="P329">
        <v>114</v>
      </c>
      <c r="Q329" s="17">
        <v>114</v>
      </c>
      <c r="R329" s="16">
        <f>1000/Q329</f>
        <v>8.7719298245614041</v>
      </c>
      <c r="S329" s="16">
        <f>8.33*R329</f>
        <v>73.070175438596493</v>
      </c>
      <c r="T329" s="16">
        <f>S329*1.33</f>
        <v>97.183333333333337</v>
      </c>
    </row>
    <row r="330" spans="1:37" x14ac:dyDescent="0.2">
      <c r="A330">
        <v>-247</v>
      </c>
      <c r="B330" s="10" t="s">
        <v>162</v>
      </c>
      <c r="C330" s="11" t="s">
        <v>42</v>
      </c>
      <c r="D330" s="15" t="s">
        <v>744</v>
      </c>
      <c r="E330" s="13">
        <v>27</v>
      </c>
      <c r="F330" s="13">
        <v>3</v>
      </c>
      <c r="G330" s="13">
        <f t="shared" si="15"/>
        <v>59</v>
      </c>
      <c r="H330" s="13">
        <v>247</v>
      </c>
      <c r="I330" s="14">
        <f t="shared" si="16"/>
        <v>-246.76438356164383</v>
      </c>
      <c r="J330" s="15" t="s">
        <v>745</v>
      </c>
      <c r="K330" s="10">
        <v>216</v>
      </c>
      <c r="L330" s="16">
        <v>216</v>
      </c>
      <c r="M330" s="16">
        <f t="shared" si="17"/>
        <v>4.6296296296296298</v>
      </c>
      <c r="N330" s="16">
        <f t="shared" si="18"/>
        <v>38.564814814814817</v>
      </c>
      <c r="O330" s="16">
        <f t="shared" si="19"/>
        <v>62.205046296296295</v>
      </c>
      <c r="P330" t="s">
        <v>41</v>
      </c>
      <c r="T330" s="8"/>
    </row>
    <row r="331" spans="1:37" x14ac:dyDescent="0.2">
      <c r="A331">
        <v>-247</v>
      </c>
      <c r="B331" s="10" t="s">
        <v>162</v>
      </c>
      <c r="C331" s="11" t="s">
        <v>45</v>
      </c>
      <c r="D331" s="15" t="s">
        <v>746</v>
      </c>
      <c r="E331" s="13">
        <v>6</v>
      </c>
      <c r="F331" s="13">
        <v>4</v>
      </c>
      <c r="G331" s="13">
        <f t="shared" si="15"/>
        <v>90</v>
      </c>
      <c r="H331" s="13">
        <v>247</v>
      </c>
      <c r="I331" s="14">
        <f t="shared" si="16"/>
        <v>-246.73698630136985</v>
      </c>
      <c r="J331" s="15" t="s">
        <v>747</v>
      </c>
      <c r="T331" s="8"/>
    </row>
    <row r="332" spans="1:37" x14ac:dyDescent="0.2">
      <c r="A332">
        <v>-246</v>
      </c>
      <c r="B332" s="10" t="s">
        <v>60</v>
      </c>
      <c r="D332" s="15" t="s">
        <v>748</v>
      </c>
      <c r="E332" s="13">
        <v>15</v>
      </c>
      <c r="F332" s="13">
        <v>4</v>
      </c>
      <c r="G332" s="13">
        <f t="shared" si="15"/>
        <v>90</v>
      </c>
      <c r="H332" s="13">
        <v>247</v>
      </c>
      <c r="I332" s="14">
        <f t="shared" si="16"/>
        <v>-246.7123287671233</v>
      </c>
      <c r="J332" s="15" t="s">
        <v>749</v>
      </c>
      <c r="K332" s="2">
        <v>225</v>
      </c>
      <c r="L332" s="8">
        <v>225</v>
      </c>
      <c r="M332" s="8">
        <f>1000/L332</f>
        <v>4.4444444444444446</v>
      </c>
      <c r="N332" s="8">
        <f>8.33*M332</f>
        <v>37.022222222222226</v>
      </c>
      <c r="O332" s="8">
        <f>1.613*N332</f>
        <v>59.716844444444448</v>
      </c>
      <c r="P332" s="1">
        <v>126</v>
      </c>
      <c r="Q332" s="9">
        <v>126</v>
      </c>
      <c r="R332" s="8">
        <f>1000/Q332</f>
        <v>7.9365079365079367</v>
      </c>
      <c r="S332" s="8">
        <f>8.33*R332</f>
        <v>66.111111111111114</v>
      </c>
      <c r="T332" s="8">
        <f>S332*1.33</f>
        <v>87.927777777777791</v>
      </c>
      <c r="U332" t="s">
        <v>41</v>
      </c>
      <c r="AG332" s="1">
        <v>5</v>
      </c>
      <c r="AH332" s="9">
        <v>5</v>
      </c>
      <c r="AI332" s="8">
        <f>1/AH332</f>
        <v>0.2</v>
      </c>
      <c r="AJ332" s="8">
        <f>8.33*AI332</f>
        <v>1.6660000000000001</v>
      </c>
    </row>
    <row r="333" spans="1:37" x14ac:dyDescent="0.2">
      <c r="A333">
        <v>-246</v>
      </c>
      <c r="B333" s="10" t="s">
        <v>285</v>
      </c>
      <c r="D333" s="15" t="s">
        <v>750</v>
      </c>
      <c r="E333" s="13">
        <v>11</v>
      </c>
      <c r="F333" s="13">
        <v>8</v>
      </c>
      <c r="G333" s="13">
        <f t="shared" si="15"/>
        <v>212</v>
      </c>
      <c r="H333" s="13">
        <v>247</v>
      </c>
      <c r="I333" s="14">
        <f t="shared" si="16"/>
        <v>-246.38904109589041</v>
      </c>
      <c r="J333" s="15" t="s">
        <v>751</v>
      </c>
      <c r="K333" s="2"/>
      <c r="L333" s="8"/>
      <c r="P333" s="1"/>
      <c r="Q333" s="9"/>
      <c r="T333" s="8"/>
      <c r="AG333" s="1">
        <v>4</v>
      </c>
      <c r="AH333" s="9">
        <v>4</v>
      </c>
      <c r="AI333" s="8">
        <f>1/AH333</f>
        <v>0.25</v>
      </c>
      <c r="AJ333" s="8">
        <f>8.33*AI333</f>
        <v>2.0825</v>
      </c>
    </row>
    <row r="334" spans="1:37" x14ac:dyDescent="0.2">
      <c r="A334">
        <v>-246</v>
      </c>
      <c r="B334" s="10" t="s">
        <v>285</v>
      </c>
      <c r="C334" s="11" t="s">
        <v>39</v>
      </c>
      <c r="D334" s="15" t="s">
        <v>750</v>
      </c>
      <c r="E334" s="13">
        <v>11</v>
      </c>
      <c r="F334" s="13">
        <v>8</v>
      </c>
      <c r="G334" s="13">
        <f t="shared" si="15"/>
        <v>212</v>
      </c>
      <c r="H334" s="13">
        <v>247</v>
      </c>
      <c r="I334" s="14">
        <f t="shared" si="16"/>
        <v>-246.38904109589041</v>
      </c>
      <c r="J334" s="15" t="s">
        <v>752</v>
      </c>
      <c r="T334" s="8"/>
    </row>
    <row r="335" spans="1:37" x14ac:dyDescent="0.2">
      <c r="A335">
        <v>-246</v>
      </c>
      <c r="B335" s="10" t="s">
        <v>285</v>
      </c>
      <c r="C335" s="11" t="s">
        <v>42</v>
      </c>
      <c r="D335" s="15" t="s">
        <v>753</v>
      </c>
      <c r="E335" s="13">
        <v>21</v>
      </c>
      <c r="F335" s="13">
        <v>8</v>
      </c>
      <c r="G335" s="13">
        <f t="shared" si="15"/>
        <v>212</v>
      </c>
      <c r="H335" s="13">
        <v>247</v>
      </c>
      <c r="I335" s="14">
        <f t="shared" si="16"/>
        <v>-246.36164383561643</v>
      </c>
      <c r="J335" s="15" t="s">
        <v>754</v>
      </c>
      <c r="T335" s="8"/>
      <c r="AC335">
        <v>42</v>
      </c>
      <c r="AD335" s="17">
        <v>42</v>
      </c>
      <c r="AE335" s="16">
        <f>1000/AD335</f>
        <v>23.80952380952381</v>
      </c>
      <c r="AF335" s="16">
        <f>8.33*AE335</f>
        <v>198.33333333333334</v>
      </c>
    </row>
    <row r="336" spans="1:37" x14ac:dyDescent="0.2">
      <c r="A336">
        <v>-246</v>
      </c>
      <c r="B336" s="10" t="s">
        <v>285</v>
      </c>
      <c r="C336" s="11" t="s">
        <v>45</v>
      </c>
      <c r="D336" s="15" t="s">
        <v>755</v>
      </c>
      <c r="E336" s="13">
        <v>31</v>
      </c>
      <c r="F336" s="13">
        <v>8</v>
      </c>
      <c r="G336" s="13">
        <f t="shared" si="15"/>
        <v>212</v>
      </c>
      <c r="H336" s="13">
        <v>247</v>
      </c>
      <c r="I336" s="14">
        <f t="shared" si="16"/>
        <v>-246.33424657534246</v>
      </c>
      <c r="J336" s="15" t="s">
        <v>751</v>
      </c>
      <c r="T336" s="8"/>
    </row>
    <row r="337" spans="1:36" x14ac:dyDescent="0.2">
      <c r="A337">
        <v>-246</v>
      </c>
      <c r="B337" s="10" t="s">
        <v>72</v>
      </c>
      <c r="D337" s="15" t="s">
        <v>756</v>
      </c>
      <c r="E337" s="13">
        <v>9</v>
      </c>
      <c r="F337" s="13">
        <v>9</v>
      </c>
      <c r="G337" s="13">
        <f t="shared" si="15"/>
        <v>243</v>
      </c>
      <c r="H337" s="13">
        <v>247</v>
      </c>
      <c r="I337" s="14">
        <f t="shared" si="16"/>
        <v>-246.3095890410959</v>
      </c>
      <c r="J337" s="15" t="s">
        <v>757</v>
      </c>
      <c r="K337" s="2">
        <v>210</v>
      </c>
      <c r="L337" s="8">
        <v>210</v>
      </c>
      <c r="M337" s="8">
        <f>1000/L337</f>
        <v>4.7619047619047619</v>
      </c>
      <c r="N337" s="8">
        <f>8.33*M337</f>
        <v>39.666666666666664</v>
      </c>
      <c r="O337" s="8">
        <f>1.613*N337</f>
        <v>63.98233333333333</v>
      </c>
      <c r="P337" s="1">
        <v>120</v>
      </c>
      <c r="Q337" s="9">
        <v>120</v>
      </c>
      <c r="R337" s="8">
        <f>1000/Q337</f>
        <v>8.3333333333333339</v>
      </c>
      <c r="S337" s="8">
        <f>8.33*R337</f>
        <v>69.416666666666671</v>
      </c>
      <c r="T337" s="8">
        <f>S337*1.33</f>
        <v>92.324166666666684</v>
      </c>
      <c r="U337" s="1">
        <v>540</v>
      </c>
      <c r="V337" s="9">
        <v>540</v>
      </c>
      <c r="W337" s="8">
        <f>1000/V337</f>
        <v>1.8518518518518519</v>
      </c>
      <c r="X337" s="8">
        <f>8.33*W337</f>
        <v>15.425925925925926</v>
      </c>
      <c r="Y337" s="1">
        <v>96</v>
      </c>
      <c r="Z337" s="9">
        <v>96</v>
      </c>
      <c r="AA337" s="8">
        <f>1000/Z337</f>
        <v>10.416666666666666</v>
      </c>
      <c r="AB337" s="8">
        <f>8.33*AA337</f>
        <v>86.770833333333329</v>
      </c>
      <c r="AC337" s="18" t="s">
        <v>41</v>
      </c>
      <c r="AD337" s="9"/>
      <c r="AE337" s="8"/>
      <c r="AF337" s="8"/>
      <c r="AG337" s="1" t="s">
        <v>41</v>
      </c>
      <c r="AH337" s="9"/>
    </row>
    <row r="338" spans="1:36" x14ac:dyDescent="0.2">
      <c r="A338">
        <v>-245</v>
      </c>
      <c r="B338" s="10" t="s">
        <v>60</v>
      </c>
      <c r="D338" s="15" t="s">
        <v>758</v>
      </c>
      <c r="E338" s="13">
        <v>4</v>
      </c>
      <c r="F338" s="13">
        <v>4</v>
      </c>
      <c r="G338" s="13">
        <f t="shared" si="15"/>
        <v>90</v>
      </c>
      <c r="H338" s="13">
        <v>246</v>
      </c>
      <c r="I338" s="14">
        <f t="shared" si="16"/>
        <v>-245.74246575342465</v>
      </c>
      <c r="J338" s="15" t="s">
        <v>759</v>
      </c>
      <c r="R338" s="8"/>
      <c r="S338" s="8"/>
      <c r="T338" s="8"/>
      <c r="U338" s="1"/>
      <c r="V338" s="9"/>
      <c r="W338" s="8"/>
      <c r="X338" s="8"/>
      <c r="Y338" s="30"/>
      <c r="Z338" s="21"/>
      <c r="AA338" s="8"/>
      <c r="AB338" s="8"/>
      <c r="AC338" s="1">
        <v>36</v>
      </c>
      <c r="AD338" s="9">
        <v>36</v>
      </c>
      <c r="AE338" s="8">
        <f>1000/AD338</f>
        <v>27.777777777777779</v>
      </c>
      <c r="AF338" s="8">
        <f>8.33*AE338</f>
        <v>231.38888888888889</v>
      </c>
      <c r="AG338" s="1">
        <v>5</v>
      </c>
      <c r="AH338" s="9">
        <v>5</v>
      </c>
      <c r="AI338" s="8">
        <f>1/AH338</f>
        <v>0.2</v>
      </c>
      <c r="AJ338" s="8">
        <f>8.33*AI338</f>
        <v>1.6660000000000001</v>
      </c>
    </row>
    <row r="339" spans="1:36" x14ac:dyDescent="0.2">
      <c r="A339">
        <v>-245</v>
      </c>
      <c r="B339" s="10" t="s">
        <v>285</v>
      </c>
      <c r="D339" s="15" t="s">
        <v>760</v>
      </c>
      <c r="E339" s="13">
        <v>31</v>
      </c>
      <c r="F339" s="13">
        <v>7</v>
      </c>
      <c r="G339" s="13">
        <f t="shared" si="15"/>
        <v>181</v>
      </c>
      <c r="H339" s="13">
        <v>246</v>
      </c>
      <c r="I339" s="14">
        <f t="shared" si="16"/>
        <v>-245.41917808219179</v>
      </c>
      <c r="J339" s="15" t="s">
        <v>761</v>
      </c>
      <c r="P339" s="1">
        <v>135</v>
      </c>
      <c r="Q339" s="9">
        <v>135</v>
      </c>
      <c r="R339" s="8">
        <f>1000/Q339</f>
        <v>7.4074074074074074</v>
      </c>
      <c r="S339" s="8">
        <f>8.33*R339</f>
        <v>61.703703703703702</v>
      </c>
      <c r="T339" s="8">
        <f>S339*1.33</f>
        <v>82.065925925925924</v>
      </c>
      <c r="U339" s="1">
        <v>396</v>
      </c>
      <c r="V339" s="9">
        <v>396</v>
      </c>
      <c r="W339" s="8">
        <f>1000/V339</f>
        <v>2.5252525252525251</v>
      </c>
      <c r="X339" s="8">
        <f>8.33*W339</f>
        <v>21.035353535353533</v>
      </c>
      <c r="Y339" s="1">
        <v>96</v>
      </c>
      <c r="Z339" s="9">
        <v>96</v>
      </c>
      <c r="AA339" s="8">
        <f>1000/Z339</f>
        <v>10.416666666666666</v>
      </c>
      <c r="AB339" s="8">
        <f>8.33*AA339</f>
        <v>86.770833333333329</v>
      </c>
      <c r="AC339" s="1">
        <v>36</v>
      </c>
      <c r="AD339" s="9">
        <v>36</v>
      </c>
      <c r="AE339" s="8">
        <f>1000/AD339</f>
        <v>27.777777777777779</v>
      </c>
      <c r="AF339" s="8">
        <f>8.33*AE339</f>
        <v>231.38888888888889</v>
      </c>
      <c r="AG339" t="s">
        <v>41</v>
      </c>
    </row>
    <row r="340" spans="1:36" x14ac:dyDescent="0.2">
      <c r="A340">
        <v>-245</v>
      </c>
      <c r="B340" s="10" t="s">
        <v>72</v>
      </c>
      <c r="D340" s="15" t="s">
        <v>762</v>
      </c>
      <c r="E340" s="13">
        <v>30</v>
      </c>
      <c r="F340" s="13">
        <v>8</v>
      </c>
      <c r="G340" s="13">
        <f t="shared" si="15"/>
        <v>212</v>
      </c>
      <c r="H340" s="13">
        <v>246</v>
      </c>
      <c r="I340" s="14">
        <f t="shared" si="16"/>
        <v>-245.33698630136988</v>
      </c>
      <c r="J340" s="15" t="s">
        <v>763</v>
      </c>
      <c r="K340" s="2">
        <v>258</v>
      </c>
      <c r="L340" s="8">
        <v>258</v>
      </c>
      <c r="M340" s="8">
        <f>1000/L340</f>
        <v>3.8759689922480618</v>
      </c>
      <c r="N340" s="8">
        <f>8.33*M340</f>
        <v>32.286821705426355</v>
      </c>
      <c r="O340" s="8">
        <f>1.613*N340</f>
        <v>52.078643410852713</v>
      </c>
      <c r="P340" s="1">
        <v>135</v>
      </c>
      <c r="Q340" s="9">
        <v>135</v>
      </c>
      <c r="R340" s="8">
        <f>1000/Q340</f>
        <v>7.4074074074074074</v>
      </c>
      <c r="S340" s="8">
        <f>8.33*R340</f>
        <v>61.703703703703702</v>
      </c>
      <c r="T340" s="8">
        <f>S340*1.33</f>
        <v>82.065925925925924</v>
      </c>
      <c r="U340" s="1">
        <v>396</v>
      </c>
      <c r="V340" s="9">
        <v>396</v>
      </c>
      <c r="W340" s="8">
        <f>1000/V340</f>
        <v>2.5252525252525251</v>
      </c>
      <c r="X340" s="8">
        <f>8.33*W340</f>
        <v>21.035353535353533</v>
      </c>
      <c r="Y340" t="s">
        <v>41</v>
      </c>
    </row>
    <row r="341" spans="1:36" x14ac:dyDescent="0.2">
      <c r="A341">
        <v>-242</v>
      </c>
      <c r="B341" s="10" t="s">
        <v>83</v>
      </c>
      <c r="D341" s="15" t="s">
        <v>764</v>
      </c>
      <c r="E341" s="13">
        <v>21</v>
      </c>
      <c r="F341" s="13">
        <v>1</v>
      </c>
      <c r="G341" s="13">
        <f t="shared" si="15"/>
        <v>0</v>
      </c>
      <c r="H341" s="13">
        <v>242</v>
      </c>
      <c r="I341" s="14">
        <f t="shared" si="16"/>
        <v>-241.94246575342467</v>
      </c>
      <c r="J341" s="15" t="s">
        <v>765</v>
      </c>
      <c r="K341" s="2">
        <v>204</v>
      </c>
      <c r="L341" s="8">
        <v>204</v>
      </c>
      <c r="M341" s="8">
        <f>1000/L341</f>
        <v>4.9019607843137258</v>
      </c>
      <c r="N341" s="8">
        <f>8.33*M341</f>
        <v>40.833333333333336</v>
      </c>
      <c r="O341" s="8">
        <f>1.613*N341</f>
        <v>65.864166666666677</v>
      </c>
      <c r="P341" t="s">
        <v>41</v>
      </c>
      <c r="T341" s="8"/>
      <c r="AG341" s="1">
        <v>3.5</v>
      </c>
      <c r="AH341" s="9">
        <v>3.5</v>
      </c>
      <c r="AI341" s="8">
        <f>1/AH341</f>
        <v>0.2857142857142857</v>
      </c>
      <c r="AJ341" s="8">
        <f>8.33*AI341</f>
        <v>2.38</v>
      </c>
    </row>
    <row r="342" spans="1:36" x14ac:dyDescent="0.2">
      <c r="A342">
        <v>-241</v>
      </c>
      <c r="B342" s="10" t="s">
        <v>47</v>
      </c>
      <c r="D342" s="15" t="s">
        <v>766</v>
      </c>
      <c r="E342" s="13">
        <v>19</v>
      </c>
      <c r="F342" s="13">
        <v>5</v>
      </c>
      <c r="G342" s="13">
        <f t="shared" si="15"/>
        <v>120</v>
      </c>
      <c r="H342" s="13">
        <v>242</v>
      </c>
      <c r="I342" s="14">
        <f t="shared" si="16"/>
        <v>-241.61917808219178</v>
      </c>
      <c r="J342" s="15" t="s">
        <v>767</v>
      </c>
      <c r="K342" s="2">
        <v>225</v>
      </c>
      <c r="L342" s="8">
        <v>225</v>
      </c>
      <c r="M342" s="8">
        <f>1000/L342</f>
        <v>4.4444444444444446</v>
      </c>
      <c r="N342" s="8">
        <f>8.33*M342</f>
        <v>37.022222222222226</v>
      </c>
      <c r="O342" s="8">
        <f>1.613*N342</f>
        <v>59.716844444444448</v>
      </c>
      <c r="T342" s="8"/>
    </row>
    <row r="343" spans="1:36" x14ac:dyDescent="0.2">
      <c r="A343">
        <v>-240</v>
      </c>
      <c r="B343" s="10" t="s">
        <v>94</v>
      </c>
      <c r="D343" s="15" t="s">
        <v>768</v>
      </c>
      <c r="E343" s="13">
        <v>1</v>
      </c>
      <c r="F343" s="13">
        <v>11</v>
      </c>
      <c r="G343" s="13">
        <f t="shared" si="15"/>
        <v>304</v>
      </c>
      <c r="H343" s="13">
        <v>241</v>
      </c>
      <c r="I343" s="14">
        <f t="shared" si="16"/>
        <v>-240.16438356164383</v>
      </c>
      <c r="J343" s="15" t="s">
        <v>769</v>
      </c>
      <c r="T343" s="8"/>
      <c r="AC343" s="1">
        <v>30</v>
      </c>
      <c r="AD343" s="9">
        <v>30</v>
      </c>
      <c r="AE343" s="8">
        <f>1000/AD343</f>
        <v>33.333333333333336</v>
      </c>
      <c r="AF343" s="8">
        <f>8.33*AE343</f>
        <v>277.66666666666669</v>
      </c>
      <c r="AG343" s="1" t="s">
        <v>41</v>
      </c>
    </row>
    <row r="344" spans="1:36" x14ac:dyDescent="0.2">
      <c r="A344">
        <v>-240</v>
      </c>
      <c r="B344" s="10" t="s">
        <v>94</v>
      </c>
      <c r="C344" s="11" t="s">
        <v>39</v>
      </c>
      <c r="D344" s="15" t="s">
        <v>768</v>
      </c>
      <c r="E344" s="13">
        <v>1</v>
      </c>
      <c r="F344" s="13">
        <v>11</v>
      </c>
      <c r="G344" s="13">
        <f t="shared" si="15"/>
        <v>304</v>
      </c>
      <c r="H344" s="13">
        <v>241</v>
      </c>
      <c r="I344" s="14">
        <f t="shared" si="16"/>
        <v>-240.16438356164383</v>
      </c>
      <c r="J344" s="15" t="s">
        <v>770</v>
      </c>
      <c r="T344" s="8"/>
      <c r="AH344" s="9"/>
    </row>
    <row r="345" spans="1:36" x14ac:dyDescent="0.2">
      <c r="A345">
        <v>-240</v>
      </c>
      <c r="B345" s="10" t="s">
        <v>94</v>
      </c>
      <c r="C345" s="11" t="s">
        <v>42</v>
      </c>
      <c r="D345" s="15" t="s">
        <v>771</v>
      </c>
      <c r="E345" s="13">
        <v>11</v>
      </c>
      <c r="F345" s="13">
        <v>11</v>
      </c>
      <c r="G345" s="13">
        <f t="shared" si="15"/>
        <v>304</v>
      </c>
      <c r="H345" s="13">
        <v>241</v>
      </c>
      <c r="I345" s="14">
        <f t="shared" si="16"/>
        <v>-240.13698630136986</v>
      </c>
      <c r="J345" s="15" t="s">
        <v>772</v>
      </c>
      <c r="K345" s="23">
        <v>36</v>
      </c>
      <c r="L345" s="19">
        <v>36</v>
      </c>
      <c r="M345" s="19">
        <f>1000/L345</f>
        <v>27.777777777777779</v>
      </c>
      <c r="N345" s="19">
        <f>8.33*M345</f>
        <v>231.38888888888889</v>
      </c>
      <c r="O345" s="19">
        <f>1.613*N345</f>
        <v>373.23027777777776</v>
      </c>
      <c r="T345" s="8"/>
    </row>
    <row r="346" spans="1:36" x14ac:dyDescent="0.2">
      <c r="A346">
        <v>-240</v>
      </c>
      <c r="B346" s="10" t="s">
        <v>94</v>
      </c>
      <c r="C346" s="11" t="s">
        <v>45</v>
      </c>
      <c r="D346" s="15" t="s">
        <v>773</v>
      </c>
      <c r="E346" s="13">
        <v>21</v>
      </c>
      <c r="F346" s="13">
        <v>11</v>
      </c>
      <c r="G346" s="13">
        <f t="shared" si="15"/>
        <v>304</v>
      </c>
      <c r="H346" s="13">
        <v>241</v>
      </c>
      <c r="I346" s="14">
        <f t="shared" si="16"/>
        <v>-240.10958904109589</v>
      </c>
      <c r="J346" s="15" t="s">
        <v>769</v>
      </c>
      <c r="K346" s="23"/>
      <c r="T346" s="8"/>
      <c r="Y346" t="s">
        <v>774</v>
      </c>
      <c r="Z346" s="20">
        <v>21</v>
      </c>
      <c r="AA346" s="19">
        <f>1000/Z346</f>
        <v>47.61904761904762</v>
      </c>
      <c r="AB346" s="19">
        <f>8.33*AA346</f>
        <v>396.66666666666669</v>
      </c>
    </row>
    <row r="347" spans="1:36" x14ac:dyDescent="0.2">
      <c r="A347">
        <v>-240</v>
      </c>
      <c r="B347" s="10" t="s">
        <v>36</v>
      </c>
      <c r="D347" s="15" t="s">
        <v>775</v>
      </c>
      <c r="E347" s="13">
        <v>30</v>
      </c>
      <c r="F347" s="13">
        <v>11</v>
      </c>
      <c r="G347" s="13">
        <f t="shared" si="15"/>
        <v>304</v>
      </c>
      <c r="H347" s="13">
        <v>241</v>
      </c>
      <c r="I347" s="14">
        <f t="shared" si="16"/>
        <v>-240.0849315068493</v>
      </c>
      <c r="J347" s="15" t="s">
        <v>776</v>
      </c>
      <c r="P347" t="s">
        <v>777</v>
      </c>
      <c r="Q347" s="20">
        <v>69</v>
      </c>
      <c r="R347" s="19">
        <f>1000/Q347</f>
        <v>14.492753623188406</v>
      </c>
      <c r="S347" s="19">
        <f>8.33*R347</f>
        <v>120.72463768115942</v>
      </c>
      <c r="T347" s="19">
        <f>S347*1.33</f>
        <v>160.56376811594203</v>
      </c>
      <c r="U347" t="s">
        <v>501</v>
      </c>
      <c r="V347" s="20">
        <v>288</v>
      </c>
      <c r="W347" s="19">
        <f>1000/V347</f>
        <v>3.4722222222222223</v>
      </c>
      <c r="X347" s="19">
        <f>8.33*W347</f>
        <v>28.923611111111111</v>
      </c>
    </row>
    <row r="348" spans="1:36" x14ac:dyDescent="0.2">
      <c r="A348">
        <v>-240</v>
      </c>
      <c r="B348" s="10" t="s">
        <v>75</v>
      </c>
      <c r="D348" s="15" t="s">
        <v>778</v>
      </c>
      <c r="E348" s="13">
        <v>30</v>
      </c>
      <c r="F348" s="13">
        <v>12</v>
      </c>
      <c r="G348" s="13">
        <f t="shared" si="15"/>
        <v>334</v>
      </c>
      <c r="H348" s="13">
        <v>241</v>
      </c>
      <c r="I348" s="14">
        <f t="shared" si="16"/>
        <v>-240.00273972602739</v>
      </c>
      <c r="J348" s="15" t="s">
        <v>779</v>
      </c>
      <c r="P348" s="1">
        <v>72</v>
      </c>
      <c r="Q348" s="9">
        <v>72</v>
      </c>
      <c r="R348" s="8">
        <f>1000/Q348</f>
        <v>13.888888888888889</v>
      </c>
      <c r="S348" s="8">
        <f>8.33*R348</f>
        <v>115.69444444444444</v>
      </c>
      <c r="T348" s="8">
        <f>S348*1.33</f>
        <v>153.87361111111113</v>
      </c>
      <c r="U348" s="1">
        <v>270</v>
      </c>
      <c r="V348" s="9">
        <v>270</v>
      </c>
      <c r="W348" s="8">
        <f>1000/V348</f>
        <v>3.7037037037037037</v>
      </c>
      <c r="X348" s="8">
        <f>8.33*W348</f>
        <v>30.851851851851851</v>
      </c>
      <c r="Y348" s="1">
        <v>24</v>
      </c>
      <c r="Z348" s="9">
        <v>24</v>
      </c>
      <c r="AA348" s="8">
        <f>1000/Z348</f>
        <v>41.666666666666664</v>
      </c>
      <c r="AB348" s="8">
        <f>8.33*AA348</f>
        <v>347.08333333333331</v>
      </c>
    </row>
    <row r="349" spans="1:36" x14ac:dyDescent="0.2">
      <c r="A349">
        <v>-240</v>
      </c>
      <c r="B349" s="10" t="s">
        <v>75</v>
      </c>
      <c r="C349" s="11" t="s">
        <v>39</v>
      </c>
      <c r="D349" s="15" t="s">
        <v>778</v>
      </c>
      <c r="E349" s="13">
        <v>30</v>
      </c>
      <c r="F349" s="13">
        <v>12</v>
      </c>
      <c r="G349" s="13">
        <f t="shared" si="15"/>
        <v>334</v>
      </c>
      <c r="H349" s="13">
        <v>241</v>
      </c>
      <c r="I349" s="14">
        <f t="shared" si="16"/>
        <v>-240.00273972602739</v>
      </c>
      <c r="J349" s="15" t="s">
        <v>780</v>
      </c>
      <c r="K349" s="10">
        <v>48</v>
      </c>
      <c r="L349" s="16">
        <v>48</v>
      </c>
      <c r="M349" s="16">
        <f>1000/L349</f>
        <v>20.833333333333332</v>
      </c>
      <c r="N349" s="16">
        <f>8.33*M349</f>
        <v>173.54166666666666</v>
      </c>
      <c r="O349" s="16">
        <f>1.613*N349</f>
        <v>279.92270833333333</v>
      </c>
      <c r="T349" s="8"/>
      <c r="AC349" t="s">
        <v>346</v>
      </c>
      <c r="AD349" s="20">
        <v>27</v>
      </c>
      <c r="AE349" s="19">
        <f>1000/AD349</f>
        <v>37.037037037037038</v>
      </c>
      <c r="AF349" s="19">
        <f>8.33*AE349</f>
        <v>308.51851851851853</v>
      </c>
    </row>
    <row r="350" spans="1:36" x14ac:dyDescent="0.2">
      <c r="A350">
        <v>-240</v>
      </c>
      <c r="B350" s="10" t="s">
        <v>75</v>
      </c>
      <c r="C350" s="11" t="s">
        <v>42</v>
      </c>
      <c r="D350" s="15" t="s">
        <v>781</v>
      </c>
      <c r="E350" s="13">
        <v>9</v>
      </c>
      <c r="F350" s="13">
        <v>1</v>
      </c>
      <c r="G350" s="13">
        <f t="shared" si="15"/>
        <v>0</v>
      </c>
      <c r="H350" s="13">
        <v>240</v>
      </c>
      <c r="I350" s="14">
        <f t="shared" si="16"/>
        <v>-239.97534246575341</v>
      </c>
      <c r="J350" s="15" t="s">
        <v>782</v>
      </c>
      <c r="K350" s="10">
        <v>45</v>
      </c>
      <c r="L350" s="16">
        <v>45</v>
      </c>
      <c r="M350" s="16">
        <f>1000/L350</f>
        <v>22.222222222222221</v>
      </c>
      <c r="N350" s="16">
        <f>8.33*M350</f>
        <v>185.11111111111111</v>
      </c>
      <c r="O350" s="16">
        <f>1.613*N350</f>
        <v>298.58422222222225</v>
      </c>
      <c r="T350" s="8"/>
    </row>
    <row r="351" spans="1:36" x14ac:dyDescent="0.2">
      <c r="A351">
        <v>-240</v>
      </c>
      <c r="B351" s="10" t="s">
        <v>75</v>
      </c>
      <c r="C351" s="11" t="s">
        <v>45</v>
      </c>
      <c r="D351" s="15" t="s">
        <v>783</v>
      </c>
      <c r="E351" s="13">
        <v>19</v>
      </c>
      <c r="F351" s="13">
        <v>1</v>
      </c>
      <c r="G351" s="13">
        <f t="shared" si="15"/>
        <v>0</v>
      </c>
      <c r="H351" s="13">
        <v>240</v>
      </c>
      <c r="I351" s="14">
        <f t="shared" si="16"/>
        <v>-239.94794520547944</v>
      </c>
      <c r="J351" s="15" t="s">
        <v>779</v>
      </c>
      <c r="T351" s="8"/>
    </row>
    <row r="352" spans="1:36" x14ac:dyDescent="0.2">
      <c r="A352">
        <v>-237</v>
      </c>
      <c r="B352" s="10" t="s">
        <v>65</v>
      </c>
      <c r="D352" s="15" t="s">
        <v>784</v>
      </c>
      <c r="E352" s="13">
        <v>4</v>
      </c>
      <c r="F352" s="13">
        <v>6</v>
      </c>
      <c r="G352" s="13">
        <f t="shared" si="15"/>
        <v>151</v>
      </c>
      <c r="H352" s="13">
        <v>238</v>
      </c>
      <c r="I352" s="14">
        <f t="shared" si="16"/>
        <v>-237.57534246575344</v>
      </c>
      <c r="J352" s="15" t="s">
        <v>785</v>
      </c>
      <c r="P352" s="1">
        <v>72</v>
      </c>
      <c r="Q352" s="9">
        <v>72</v>
      </c>
      <c r="R352" s="8">
        <f>1000/Q352</f>
        <v>13.888888888888889</v>
      </c>
      <c r="S352" s="8">
        <f>8.33*R352</f>
        <v>115.69444444444444</v>
      </c>
      <c r="T352" s="8">
        <f>S352*1.33</f>
        <v>153.87361111111113</v>
      </c>
      <c r="U352" s="1">
        <v>240</v>
      </c>
      <c r="V352" s="9">
        <v>240</v>
      </c>
      <c r="W352" s="8">
        <f>1000/V352</f>
        <v>4.166666666666667</v>
      </c>
      <c r="X352" s="8">
        <f>8.33*W352</f>
        <v>34.708333333333336</v>
      </c>
      <c r="Y352" s="1">
        <v>60</v>
      </c>
      <c r="Z352" s="9">
        <v>60</v>
      </c>
      <c r="AA352" s="8">
        <f>1000/Z352</f>
        <v>16.666666666666668</v>
      </c>
      <c r="AB352" s="8">
        <f>8.33*AA352</f>
        <v>138.83333333333334</v>
      </c>
      <c r="AC352" s="1">
        <v>8</v>
      </c>
      <c r="AD352" s="9">
        <v>8</v>
      </c>
      <c r="AE352" s="8">
        <f>1000/AD352</f>
        <v>125</v>
      </c>
      <c r="AF352" s="8">
        <f>8.33*AE352</f>
        <v>1041.25</v>
      </c>
      <c r="AG352" s="1">
        <v>4</v>
      </c>
      <c r="AH352" s="9">
        <v>4</v>
      </c>
      <c r="AI352" s="8">
        <f>1/AH352</f>
        <v>0.25</v>
      </c>
      <c r="AJ352" s="8">
        <f>8.33*AI352</f>
        <v>2.0825</v>
      </c>
    </row>
    <row r="353" spans="1:36" x14ac:dyDescent="0.2">
      <c r="A353">
        <v>-237</v>
      </c>
      <c r="B353" s="10" t="s">
        <v>65</v>
      </c>
      <c r="C353" s="11" t="s">
        <v>39</v>
      </c>
      <c r="D353" s="15" t="s">
        <v>784</v>
      </c>
      <c r="E353" s="13">
        <v>4</v>
      </c>
      <c r="F353" s="13">
        <v>6</v>
      </c>
      <c r="G353" s="13">
        <f t="shared" si="15"/>
        <v>151</v>
      </c>
      <c r="H353" s="13">
        <v>238</v>
      </c>
      <c r="I353" s="14">
        <f t="shared" si="16"/>
        <v>-237.57534246575344</v>
      </c>
      <c r="J353" s="15" t="s">
        <v>786</v>
      </c>
      <c r="K353" s="10">
        <v>120</v>
      </c>
      <c r="L353" s="16">
        <v>120</v>
      </c>
      <c r="M353" s="16">
        <f>1000/L353</f>
        <v>8.3333333333333339</v>
      </c>
      <c r="N353" s="16">
        <f>8.33*M353</f>
        <v>69.416666666666671</v>
      </c>
      <c r="O353" s="16">
        <f>1.613*N353</f>
        <v>111.96908333333334</v>
      </c>
      <c r="T353" s="8"/>
    </row>
    <row r="354" spans="1:36" x14ac:dyDescent="0.2">
      <c r="A354">
        <v>-237</v>
      </c>
      <c r="B354" s="10" t="s">
        <v>65</v>
      </c>
      <c r="C354" s="11" t="s">
        <v>42</v>
      </c>
      <c r="D354" s="15" t="s">
        <v>787</v>
      </c>
      <c r="E354" s="13">
        <v>14</v>
      </c>
      <c r="F354" s="13">
        <v>6</v>
      </c>
      <c r="G354" s="13">
        <f t="shared" si="15"/>
        <v>151</v>
      </c>
      <c r="H354" s="13">
        <v>238</v>
      </c>
      <c r="I354" s="14">
        <f t="shared" si="16"/>
        <v>-237.54794520547946</v>
      </c>
      <c r="J354" s="15" t="s">
        <v>788</v>
      </c>
      <c r="L354" s="19">
        <v>120</v>
      </c>
      <c r="M354" s="19">
        <v>8.33</v>
      </c>
      <c r="N354" s="19">
        <v>69.42</v>
      </c>
      <c r="O354" s="19">
        <v>111.97</v>
      </c>
      <c r="T354" s="8"/>
    </row>
    <row r="355" spans="1:36" x14ac:dyDescent="0.2">
      <c r="A355">
        <v>-237</v>
      </c>
      <c r="B355" s="10" t="s">
        <v>65</v>
      </c>
      <c r="C355" s="11" t="s">
        <v>45</v>
      </c>
      <c r="D355" s="15" t="s">
        <v>789</v>
      </c>
      <c r="E355" s="13">
        <v>24</v>
      </c>
      <c r="F355" s="13">
        <v>6</v>
      </c>
      <c r="G355" s="13">
        <f t="shared" si="15"/>
        <v>151</v>
      </c>
      <c r="H355" s="13">
        <v>238</v>
      </c>
      <c r="I355" s="14">
        <f t="shared" si="16"/>
        <v>-237.52054794520549</v>
      </c>
      <c r="J355" s="15" t="s">
        <v>785</v>
      </c>
      <c r="K355" s="10" t="s">
        <v>790</v>
      </c>
      <c r="L355" s="19">
        <v>135</v>
      </c>
      <c r="M355" s="19">
        <f>1000/L355</f>
        <v>7.4074074074074074</v>
      </c>
      <c r="N355" s="19">
        <f>8.33*M355</f>
        <v>61.703703703703702</v>
      </c>
      <c r="O355" s="19">
        <f>1.613*N355</f>
        <v>99.52807407407407</v>
      </c>
      <c r="T355" s="8"/>
    </row>
    <row r="356" spans="1:36" x14ac:dyDescent="0.2">
      <c r="A356">
        <v>-237</v>
      </c>
      <c r="B356" s="10" t="s">
        <v>130</v>
      </c>
      <c r="D356" s="15" t="s">
        <v>791</v>
      </c>
      <c r="E356" s="13">
        <v>4</v>
      </c>
      <c r="F356" s="13">
        <v>7</v>
      </c>
      <c r="G356" s="13">
        <f t="shared" si="15"/>
        <v>181</v>
      </c>
      <c r="H356" s="13">
        <v>238</v>
      </c>
      <c r="I356" s="14">
        <f t="shared" si="16"/>
        <v>-237.49315068493149</v>
      </c>
      <c r="J356" s="15" t="s">
        <v>792</v>
      </c>
      <c r="K356" s="10" t="s">
        <v>41</v>
      </c>
      <c r="T356" s="8"/>
      <c r="U356" t="s">
        <v>793</v>
      </c>
      <c r="V356" s="20">
        <v>243</v>
      </c>
      <c r="W356" s="19">
        <f>1000/V356</f>
        <v>4.1152263374485596</v>
      </c>
      <c r="X356" s="19">
        <f>8.33*W356</f>
        <v>34.279835390946502</v>
      </c>
      <c r="Y356" t="s">
        <v>133</v>
      </c>
      <c r="Z356" s="17" t="s">
        <v>133</v>
      </c>
    </row>
    <row r="357" spans="1:36" x14ac:dyDescent="0.2">
      <c r="A357">
        <v>-237</v>
      </c>
      <c r="B357" s="10" t="s">
        <v>285</v>
      </c>
      <c r="D357" s="15" t="s">
        <v>794</v>
      </c>
      <c r="E357" s="13">
        <v>2</v>
      </c>
      <c r="F357" s="13">
        <v>8</v>
      </c>
      <c r="G357" s="13">
        <f t="shared" si="15"/>
        <v>212</v>
      </c>
      <c r="H357" s="13">
        <v>238</v>
      </c>
      <c r="I357" s="14">
        <f t="shared" si="16"/>
        <v>-237.41369863013699</v>
      </c>
      <c r="J357" s="15" t="s">
        <v>795</v>
      </c>
      <c r="T357" s="8"/>
      <c r="U357" s="1">
        <v>270</v>
      </c>
      <c r="V357" s="9">
        <v>270</v>
      </c>
      <c r="W357" s="8">
        <f>1000/V357</f>
        <v>3.7037037037037037</v>
      </c>
      <c r="X357" s="8">
        <f>8.33*W357</f>
        <v>30.851851851851851</v>
      </c>
      <c r="Y357" s="1">
        <v>54</v>
      </c>
      <c r="Z357" s="9">
        <v>54</v>
      </c>
      <c r="AA357" s="8">
        <f>1000/Z357</f>
        <v>18.518518518518519</v>
      </c>
      <c r="AB357" s="8">
        <f>8.33*AA357</f>
        <v>154.25925925925927</v>
      </c>
    </row>
    <row r="358" spans="1:36" x14ac:dyDescent="0.2">
      <c r="A358">
        <v>-237</v>
      </c>
      <c r="B358" s="10" t="s">
        <v>285</v>
      </c>
      <c r="C358" s="11" t="s">
        <v>39</v>
      </c>
      <c r="D358" s="15" t="s">
        <v>794</v>
      </c>
      <c r="E358" s="13">
        <v>2</v>
      </c>
      <c r="F358" s="13">
        <v>8</v>
      </c>
      <c r="G358" s="13">
        <f t="shared" si="15"/>
        <v>212</v>
      </c>
      <c r="H358" s="13">
        <v>238</v>
      </c>
      <c r="I358" s="14">
        <f t="shared" si="16"/>
        <v>-237.41369863013699</v>
      </c>
      <c r="J358" s="15" t="s">
        <v>796</v>
      </c>
      <c r="T358" s="8"/>
      <c r="AC358">
        <v>9</v>
      </c>
      <c r="AD358" s="17">
        <v>9</v>
      </c>
      <c r="AE358" s="16">
        <f>1000/AD358</f>
        <v>111.11111111111111</v>
      </c>
      <c r="AF358" s="16">
        <f>8.33*AE358</f>
        <v>925.55555555555554</v>
      </c>
    </row>
    <row r="359" spans="1:36" x14ac:dyDescent="0.2">
      <c r="A359">
        <v>-237</v>
      </c>
      <c r="B359" s="10" t="s">
        <v>285</v>
      </c>
      <c r="C359" s="11" t="s">
        <v>42</v>
      </c>
      <c r="D359" s="15" t="s">
        <v>797</v>
      </c>
      <c r="E359" s="13">
        <v>12</v>
      </c>
      <c r="F359" s="13">
        <v>8</v>
      </c>
      <c r="G359" s="13">
        <f t="shared" si="15"/>
        <v>212</v>
      </c>
      <c r="H359" s="13">
        <v>238</v>
      </c>
      <c r="I359" s="14">
        <f t="shared" si="16"/>
        <v>-237.38630136986302</v>
      </c>
      <c r="J359" s="15" t="s">
        <v>798</v>
      </c>
      <c r="T359" s="8"/>
      <c r="AD359" s="20">
        <v>9</v>
      </c>
      <c r="AE359" s="19">
        <v>111.11</v>
      </c>
      <c r="AF359" s="19">
        <v>925.56</v>
      </c>
    </row>
    <row r="360" spans="1:36" x14ac:dyDescent="0.2">
      <c r="A360">
        <v>-237</v>
      </c>
      <c r="B360" s="10" t="s">
        <v>285</v>
      </c>
      <c r="C360" s="11" t="s">
        <v>45</v>
      </c>
      <c r="D360" s="15" t="s">
        <v>799</v>
      </c>
      <c r="E360" s="13">
        <v>22</v>
      </c>
      <c r="F360" s="13">
        <v>8</v>
      </c>
      <c r="G360" s="13">
        <f t="shared" si="15"/>
        <v>212</v>
      </c>
      <c r="H360" s="13">
        <v>238</v>
      </c>
      <c r="I360" s="14">
        <f t="shared" si="16"/>
        <v>-237.35890410958905</v>
      </c>
      <c r="J360" s="15" t="s">
        <v>795</v>
      </c>
      <c r="T360" s="8"/>
      <c r="AC360" t="s">
        <v>41</v>
      </c>
    </row>
    <row r="361" spans="1:36" x14ac:dyDescent="0.2">
      <c r="A361">
        <v>-234</v>
      </c>
      <c r="B361" s="10" t="s">
        <v>91</v>
      </c>
      <c r="D361" s="15" t="s">
        <v>800</v>
      </c>
      <c r="E361" s="13">
        <v>27</v>
      </c>
      <c r="F361" s="13">
        <v>9</v>
      </c>
      <c r="G361" s="13">
        <f t="shared" si="15"/>
        <v>243</v>
      </c>
      <c r="H361" s="13">
        <v>235</v>
      </c>
      <c r="I361" s="14">
        <f t="shared" si="16"/>
        <v>-234.26027397260273</v>
      </c>
      <c r="J361" s="15" t="s">
        <v>801</v>
      </c>
      <c r="P361" s="1">
        <v>63</v>
      </c>
      <c r="Q361" s="9">
        <v>63</v>
      </c>
      <c r="R361" s="8">
        <f>1000/Q361</f>
        <v>15.873015873015873</v>
      </c>
      <c r="S361" s="8">
        <f>8.33*R361</f>
        <v>132.22222222222223</v>
      </c>
      <c r="T361" s="8">
        <f>S361*1.33</f>
        <v>175.85555555555558</v>
      </c>
      <c r="U361" s="1">
        <v>270</v>
      </c>
      <c r="V361" s="9">
        <v>270</v>
      </c>
      <c r="W361" s="8">
        <f>1000/V361</f>
        <v>3.7037037037037037</v>
      </c>
      <c r="X361" s="8">
        <f>8.33*W361</f>
        <v>30.851851851851851</v>
      </c>
      <c r="Y361" s="1">
        <v>10.5</v>
      </c>
      <c r="Z361" s="9">
        <v>10.5</v>
      </c>
      <c r="AA361" s="8">
        <f>1000/Z361</f>
        <v>95.238095238095241</v>
      </c>
      <c r="AB361" s="8">
        <f>8.33*AA361</f>
        <v>793.33333333333337</v>
      </c>
      <c r="AC361" s="1" t="s">
        <v>802</v>
      </c>
      <c r="AD361" s="21">
        <v>16.5</v>
      </c>
      <c r="AE361" s="22">
        <f>1000/AD361</f>
        <v>60.606060606060609</v>
      </c>
      <c r="AF361" s="22">
        <f>8.33*AE361</f>
        <v>504.84848484848487</v>
      </c>
      <c r="AG361" s="1">
        <v>3</v>
      </c>
      <c r="AH361" s="9">
        <v>3</v>
      </c>
      <c r="AI361" s="8">
        <f>1/AH361</f>
        <v>0.33333333333333331</v>
      </c>
      <c r="AJ361" s="8">
        <f>8.33*AI361</f>
        <v>2.7766666666666664</v>
      </c>
    </row>
    <row r="362" spans="1:36" x14ac:dyDescent="0.2">
      <c r="A362">
        <v>-234</v>
      </c>
      <c r="B362" s="10" t="s">
        <v>91</v>
      </c>
      <c r="C362" s="11" t="s">
        <v>39</v>
      </c>
      <c r="D362" s="15" t="s">
        <v>800</v>
      </c>
      <c r="E362" s="13">
        <v>27</v>
      </c>
      <c r="F362" s="13">
        <v>9</v>
      </c>
      <c r="G362" s="13">
        <f t="shared" si="15"/>
        <v>243</v>
      </c>
      <c r="H362" s="13">
        <v>235</v>
      </c>
      <c r="I362" s="14">
        <f t="shared" si="16"/>
        <v>-234.26027397260273</v>
      </c>
      <c r="J362" s="15" t="s">
        <v>803</v>
      </c>
      <c r="K362" s="10">
        <v>36</v>
      </c>
      <c r="L362" s="16">
        <v>36</v>
      </c>
      <c r="M362" s="16">
        <f t="shared" ref="M362:M418" si="20">1000/L362</f>
        <v>27.777777777777779</v>
      </c>
      <c r="N362" s="16">
        <f>8.33*M362</f>
        <v>231.38888888888889</v>
      </c>
      <c r="O362" s="16">
        <f>1.613*N362</f>
        <v>373.23027777777776</v>
      </c>
      <c r="T362" s="8"/>
    </row>
    <row r="363" spans="1:36" x14ac:dyDescent="0.2">
      <c r="A363">
        <v>-234</v>
      </c>
      <c r="B363" s="10" t="s">
        <v>91</v>
      </c>
      <c r="C363" s="11" t="s">
        <v>42</v>
      </c>
      <c r="D363" s="15" t="s">
        <v>804</v>
      </c>
      <c r="E363" s="13">
        <v>7</v>
      </c>
      <c r="F363" s="13">
        <v>10</v>
      </c>
      <c r="G363" s="13">
        <f t="shared" si="15"/>
        <v>273</v>
      </c>
      <c r="H363" s="13">
        <v>235</v>
      </c>
      <c r="I363" s="14">
        <f t="shared" si="16"/>
        <v>-234.23287671232876</v>
      </c>
      <c r="J363" s="15" t="s">
        <v>805</v>
      </c>
      <c r="L363" s="19">
        <v>36</v>
      </c>
      <c r="M363" s="19">
        <v>27.78</v>
      </c>
      <c r="N363" s="19">
        <v>231.39</v>
      </c>
      <c r="O363" s="19">
        <v>373.23</v>
      </c>
      <c r="P363" t="s">
        <v>133</v>
      </c>
      <c r="T363" s="8"/>
    </row>
    <row r="364" spans="1:36" x14ac:dyDescent="0.2">
      <c r="A364">
        <v>-234</v>
      </c>
      <c r="B364" s="10" t="s">
        <v>91</v>
      </c>
      <c r="C364" s="11" t="s">
        <v>45</v>
      </c>
      <c r="D364" s="15" t="s">
        <v>806</v>
      </c>
      <c r="E364" s="13">
        <v>17</v>
      </c>
      <c r="F364" s="13">
        <v>10</v>
      </c>
      <c r="G364" s="13">
        <f t="shared" si="15"/>
        <v>273</v>
      </c>
      <c r="H364" s="13">
        <v>235</v>
      </c>
      <c r="I364" s="14">
        <f t="shared" si="16"/>
        <v>-234.20547945205479</v>
      </c>
      <c r="J364" s="15" t="s">
        <v>807</v>
      </c>
      <c r="K364" s="10" t="s">
        <v>808</v>
      </c>
      <c r="T364" s="8"/>
    </row>
    <row r="365" spans="1:36" x14ac:dyDescent="0.2">
      <c r="A365">
        <v>-234</v>
      </c>
      <c r="B365" s="10" t="s">
        <v>94</v>
      </c>
      <c r="D365" s="15" t="s">
        <v>809</v>
      </c>
      <c r="E365" s="13">
        <v>26</v>
      </c>
      <c r="F365" s="13">
        <v>10</v>
      </c>
      <c r="G365" s="13">
        <f t="shared" si="15"/>
        <v>273</v>
      </c>
      <c r="H365" s="13">
        <v>235</v>
      </c>
      <c r="I365" s="14">
        <f t="shared" si="16"/>
        <v>-234.18082191780823</v>
      </c>
      <c r="J365" s="15" t="s">
        <v>810</v>
      </c>
      <c r="T365" s="8"/>
      <c r="AC365" s="1">
        <v>16</v>
      </c>
      <c r="AD365" s="9">
        <v>16</v>
      </c>
      <c r="AE365" s="8">
        <f>1000/AD365</f>
        <v>62.5</v>
      </c>
      <c r="AF365" s="8">
        <f>8.33*AE365</f>
        <v>520.625</v>
      </c>
      <c r="AG365" s="1">
        <v>3</v>
      </c>
      <c r="AH365" s="9">
        <v>3</v>
      </c>
      <c r="AI365" s="8">
        <f>1/AH365</f>
        <v>0.33333333333333331</v>
      </c>
      <c r="AJ365" s="8">
        <f>8.33*AI365</f>
        <v>2.7766666666666664</v>
      </c>
    </row>
    <row r="366" spans="1:36" x14ac:dyDescent="0.2">
      <c r="A366">
        <v>-234</v>
      </c>
      <c r="B366" s="10" t="s">
        <v>36</v>
      </c>
      <c r="D366" s="15" t="s">
        <v>811</v>
      </c>
      <c r="E366" s="13">
        <v>25</v>
      </c>
      <c r="F366" s="13">
        <v>11</v>
      </c>
      <c r="G366" s="13">
        <f t="shared" si="15"/>
        <v>304</v>
      </c>
      <c r="H366" s="13">
        <v>235</v>
      </c>
      <c r="I366" s="14">
        <f t="shared" si="16"/>
        <v>-234.09863013698629</v>
      </c>
      <c r="J366" s="15" t="s">
        <v>812</v>
      </c>
      <c r="T366" s="8"/>
      <c r="AC366" s="1">
        <v>15</v>
      </c>
      <c r="AD366" s="9">
        <v>15</v>
      </c>
      <c r="AE366" s="8">
        <f>1000/AD366</f>
        <v>66.666666666666671</v>
      </c>
      <c r="AF366" s="8">
        <f>8.33*AE366</f>
        <v>555.33333333333337</v>
      </c>
      <c r="AG366" s="18" t="s">
        <v>813</v>
      </c>
      <c r="AH366" s="20">
        <v>3</v>
      </c>
      <c r="AI366" s="19">
        <f>1/AH366</f>
        <v>0.33333333333333331</v>
      </c>
      <c r="AJ366" s="19">
        <f>8.33*AI366</f>
        <v>2.7766666666666664</v>
      </c>
    </row>
    <row r="367" spans="1:36" x14ac:dyDescent="0.2">
      <c r="A367">
        <v>-234</v>
      </c>
      <c r="B367" s="10" t="s">
        <v>83</v>
      </c>
      <c r="D367" s="15" t="s">
        <v>814</v>
      </c>
      <c r="E367" s="13">
        <v>23</v>
      </c>
      <c r="F367" s="13">
        <v>1</v>
      </c>
      <c r="G367" s="13">
        <f t="shared" si="15"/>
        <v>0</v>
      </c>
      <c r="H367" s="13">
        <v>234</v>
      </c>
      <c r="I367" s="14">
        <f t="shared" si="16"/>
        <v>-233.93698630136987</v>
      </c>
      <c r="J367" s="15" t="s">
        <v>815</v>
      </c>
      <c r="K367" s="2">
        <v>30</v>
      </c>
      <c r="L367" s="8">
        <v>30</v>
      </c>
      <c r="M367" s="8">
        <f t="shared" si="20"/>
        <v>33.333333333333336</v>
      </c>
      <c r="N367" s="8">
        <f>8.33*M367</f>
        <v>277.66666666666669</v>
      </c>
      <c r="O367" s="8">
        <f>1.613*N367</f>
        <v>447.87633333333338</v>
      </c>
      <c r="P367" t="s">
        <v>41</v>
      </c>
      <c r="T367" s="8"/>
      <c r="AE367" s="8"/>
      <c r="AF367" s="8"/>
    </row>
    <row r="368" spans="1:36" x14ac:dyDescent="0.2">
      <c r="A368">
        <v>-234</v>
      </c>
      <c r="B368" s="10" t="s">
        <v>162</v>
      </c>
      <c r="D368" s="15" t="s">
        <v>816</v>
      </c>
      <c r="E368" s="13">
        <v>22</v>
      </c>
      <c r="F368" s="13">
        <v>3</v>
      </c>
      <c r="G368" s="13">
        <f t="shared" si="15"/>
        <v>59</v>
      </c>
      <c r="H368" s="13">
        <v>234</v>
      </c>
      <c r="I368" s="14">
        <f t="shared" si="16"/>
        <v>-233.77808219178081</v>
      </c>
      <c r="J368" s="15" t="s">
        <v>817</v>
      </c>
      <c r="K368" s="10" t="s">
        <v>41</v>
      </c>
      <c r="T368" s="8"/>
      <c r="Y368" t="s">
        <v>254</v>
      </c>
      <c r="Z368" s="20">
        <v>33</v>
      </c>
      <c r="AA368" s="19">
        <f>1000/Z368</f>
        <v>30.303030303030305</v>
      </c>
      <c r="AB368" s="19">
        <f>8.33*AA368</f>
        <v>252.42424242424244</v>
      </c>
      <c r="AC368" s="1">
        <v>12</v>
      </c>
      <c r="AD368" s="9">
        <v>12</v>
      </c>
      <c r="AE368" s="8">
        <f>1000/AD368</f>
        <v>83.333333333333329</v>
      </c>
      <c r="AF368" s="8">
        <f>8.33*AE368</f>
        <v>694.16666666666663</v>
      </c>
      <c r="AG368" s="1">
        <v>2.5</v>
      </c>
      <c r="AH368" s="9">
        <v>2.5</v>
      </c>
      <c r="AI368" s="8">
        <f>1/AH368</f>
        <v>0.4</v>
      </c>
      <c r="AJ368" s="8">
        <f>8.33*AI368</f>
        <v>3.3320000000000003</v>
      </c>
    </row>
    <row r="369" spans="1:36" x14ac:dyDescent="0.2">
      <c r="A369">
        <v>-232</v>
      </c>
      <c r="B369" s="10" t="s">
        <v>91</v>
      </c>
      <c r="D369" s="15" t="s">
        <v>818</v>
      </c>
      <c r="E369" s="13">
        <v>4</v>
      </c>
      <c r="F369" s="13">
        <v>10</v>
      </c>
      <c r="G369" s="13">
        <f t="shared" si="15"/>
        <v>273</v>
      </c>
      <c r="H369" s="13">
        <v>233</v>
      </c>
      <c r="I369" s="14">
        <f t="shared" si="16"/>
        <v>-232.24109589041095</v>
      </c>
      <c r="J369" s="15" t="s">
        <v>819</v>
      </c>
      <c r="T369" s="8"/>
      <c r="Y369" s="1">
        <v>30</v>
      </c>
      <c r="Z369" s="9">
        <v>30</v>
      </c>
      <c r="AA369" s="8">
        <f>1000/Z369</f>
        <v>33.333333333333336</v>
      </c>
      <c r="AB369" s="8">
        <f>8.33*AA369</f>
        <v>277.66666666666669</v>
      </c>
      <c r="AC369" s="1">
        <v>8</v>
      </c>
      <c r="AD369" s="9">
        <v>8</v>
      </c>
      <c r="AE369" s="8">
        <f>1000/AD369</f>
        <v>125</v>
      </c>
      <c r="AF369" s="8">
        <f>8.33*AE369</f>
        <v>1041.25</v>
      </c>
      <c r="AG369" s="1">
        <v>3.5</v>
      </c>
      <c r="AH369" s="9">
        <v>3.5</v>
      </c>
      <c r="AI369" s="8">
        <f>1/AH369</f>
        <v>0.2857142857142857</v>
      </c>
      <c r="AJ369" s="8">
        <f>8.33*AI369</f>
        <v>2.38</v>
      </c>
    </row>
    <row r="370" spans="1:36" x14ac:dyDescent="0.2">
      <c r="A370">
        <v>-232</v>
      </c>
      <c r="B370" s="10" t="s">
        <v>91</v>
      </c>
      <c r="C370" s="11" t="s">
        <v>39</v>
      </c>
      <c r="D370" s="15" t="s">
        <v>818</v>
      </c>
      <c r="E370" s="13">
        <v>4</v>
      </c>
      <c r="F370" s="13">
        <v>10</v>
      </c>
      <c r="G370" s="13">
        <f t="shared" si="15"/>
        <v>273</v>
      </c>
      <c r="H370" s="13">
        <v>233</v>
      </c>
      <c r="I370" s="14">
        <f t="shared" si="16"/>
        <v>-232.24109589041095</v>
      </c>
      <c r="J370" s="15" t="s">
        <v>820</v>
      </c>
      <c r="K370" s="10">
        <v>48</v>
      </c>
      <c r="L370" s="16">
        <v>48</v>
      </c>
      <c r="M370" s="16">
        <f t="shared" si="20"/>
        <v>20.833333333333332</v>
      </c>
      <c r="N370" s="16">
        <f>8.33*M370</f>
        <v>173.54166666666666</v>
      </c>
      <c r="O370" s="16">
        <f>1.613*N370</f>
        <v>279.92270833333333</v>
      </c>
      <c r="T370" s="8"/>
      <c r="AA370" s="8"/>
      <c r="AB370" s="8"/>
      <c r="AE370" s="8"/>
      <c r="AF370" s="8"/>
    </row>
    <row r="371" spans="1:36" x14ac:dyDescent="0.2">
      <c r="A371">
        <v>-232</v>
      </c>
      <c r="B371" s="10" t="s">
        <v>91</v>
      </c>
      <c r="C371" s="11" t="s">
        <v>42</v>
      </c>
      <c r="D371" s="15" t="s">
        <v>821</v>
      </c>
      <c r="E371" s="13">
        <v>14</v>
      </c>
      <c r="F371" s="13">
        <v>10</v>
      </c>
      <c r="G371" s="13">
        <f t="shared" si="15"/>
        <v>273</v>
      </c>
      <c r="H371" s="13">
        <v>233</v>
      </c>
      <c r="I371" s="14">
        <f t="shared" si="16"/>
        <v>-232.21369863013697</v>
      </c>
      <c r="J371" s="15" t="s">
        <v>822</v>
      </c>
      <c r="K371" s="10">
        <v>39</v>
      </c>
      <c r="L371" s="16">
        <v>39</v>
      </c>
      <c r="M371" s="16">
        <f t="shared" si="20"/>
        <v>25.641025641025642</v>
      </c>
      <c r="N371" s="16">
        <f>8.33*M371</f>
        <v>213.58974358974359</v>
      </c>
      <c r="O371" s="16">
        <f>1.613*N371</f>
        <v>344.52025641025642</v>
      </c>
      <c r="T371" s="8"/>
      <c r="AA371" s="8"/>
      <c r="AB371" s="8"/>
      <c r="AE371" s="8"/>
      <c r="AF371" s="8"/>
    </row>
    <row r="372" spans="1:36" x14ac:dyDescent="0.2">
      <c r="A372">
        <v>-232</v>
      </c>
      <c r="B372" s="10" t="s">
        <v>91</v>
      </c>
      <c r="C372" s="11" t="s">
        <v>45</v>
      </c>
      <c r="D372" s="15" t="s">
        <v>823</v>
      </c>
      <c r="E372" s="13">
        <v>24</v>
      </c>
      <c r="F372" s="13">
        <v>10</v>
      </c>
      <c r="G372" s="13">
        <f t="shared" si="15"/>
        <v>273</v>
      </c>
      <c r="H372" s="13">
        <v>233</v>
      </c>
      <c r="I372" s="14">
        <f t="shared" si="16"/>
        <v>-232.186301369863</v>
      </c>
      <c r="J372" s="15" t="s">
        <v>819</v>
      </c>
      <c r="K372" s="10" t="s">
        <v>808</v>
      </c>
      <c r="L372" s="19">
        <v>36</v>
      </c>
      <c r="M372" s="19">
        <f t="shared" si="20"/>
        <v>27.777777777777779</v>
      </c>
      <c r="N372" s="19">
        <f>8.33*M372</f>
        <v>231.38888888888889</v>
      </c>
      <c r="O372" s="19">
        <f>1.613*N372</f>
        <v>373.23027777777776</v>
      </c>
      <c r="T372" s="8"/>
      <c r="AA372" s="8"/>
      <c r="AB372" s="8"/>
      <c r="AE372" s="8"/>
      <c r="AF372" s="8"/>
    </row>
    <row r="373" spans="1:36" x14ac:dyDescent="0.2">
      <c r="A373">
        <v>-232</v>
      </c>
      <c r="B373" s="10" t="s">
        <v>94</v>
      </c>
      <c r="D373" s="15" t="s">
        <v>824</v>
      </c>
      <c r="E373" s="13">
        <v>2</v>
      </c>
      <c r="F373" s="13">
        <v>11</v>
      </c>
      <c r="G373" s="13">
        <f t="shared" si="15"/>
        <v>304</v>
      </c>
      <c r="H373" s="13">
        <v>233</v>
      </c>
      <c r="I373" s="14">
        <f t="shared" si="16"/>
        <v>-232.16164383561645</v>
      </c>
      <c r="J373" s="15" t="s">
        <v>825</v>
      </c>
      <c r="P373" s="1">
        <v>36</v>
      </c>
      <c r="Q373" s="9">
        <v>36</v>
      </c>
      <c r="R373" s="8">
        <f>1000/Q373</f>
        <v>27.777777777777779</v>
      </c>
      <c r="S373" s="8">
        <f>8.33*R373</f>
        <v>231.38888888888889</v>
      </c>
      <c r="T373" s="8">
        <f>S373*1.33</f>
        <v>307.74722222222226</v>
      </c>
      <c r="U373" s="1">
        <v>270</v>
      </c>
      <c r="V373" s="9">
        <v>270</v>
      </c>
      <c r="W373" s="8">
        <f>1000/V373</f>
        <v>3.7037037037037037</v>
      </c>
      <c r="X373" s="8">
        <f>8.33*W373</f>
        <v>30.851851851851851</v>
      </c>
      <c r="Y373" s="1">
        <v>30</v>
      </c>
      <c r="Z373" s="9">
        <v>30</v>
      </c>
      <c r="AA373" s="8">
        <f>1000/Z373</f>
        <v>33.333333333333336</v>
      </c>
      <c r="AB373" s="8">
        <f>8.33*AA373</f>
        <v>277.66666666666669</v>
      </c>
      <c r="AC373" s="1">
        <v>9</v>
      </c>
      <c r="AD373" s="9">
        <v>9</v>
      </c>
      <c r="AE373" s="8">
        <f>1000/AD373</f>
        <v>111.11111111111111</v>
      </c>
      <c r="AF373" s="8">
        <f>8.33*AE373</f>
        <v>925.55555555555554</v>
      </c>
      <c r="AG373" s="1">
        <v>3.5</v>
      </c>
      <c r="AH373" s="9">
        <v>3.5</v>
      </c>
      <c r="AI373" s="8">
        <f>1/AH373</f>
        <v>0.2857142857142857</v>
      </c>
      <c r="AJ373" s="8">
        <f>8.33*AI373</f>
        <v>2.38</v>
      </c>
    </row>
    <row r="374" spans="1:36" x14ac:dyDescent="0.2">
      <c r="A374">
        <v>-232</v>
      </c>
      <c r="B374" s="10" t="s">
        <v>36</v>
      </c>
      <c r="D374" s="15" t="s">
        <v>826</v>
      </c>
      <c r="E374" s="13">
        <v>2</v>
      </c>
      <c r="F374" s="13">
        <v>12</v>
      </c>
      <c r="G374" s="13">
        <f t="shared" si="15"/>
        <v>334</v>
      </c>
      <c r="H374" s="13">
        <v>233</v>
      </c>
      <c r="I374" s="14">
        <f t="shared" si="16"/>
        <v>-232.07945205479453</v>
      </c>
      <c r="J374" s="15" t="s">
        <v>827</v>
      </c>
      <c r="P374" s="1">
        <v>36</v>
      </c>
      <c r="Q374" s="9">
        <v>36</v>
      </c>
      <c r="R374" s="8">
        <f>1000/Q374</f>
        <v>27.777777777777779</v>
      </c>
      <c r="S374" s="8">
        <f>8.33*R374</f>
        <v>231.38888888888889</v>
      </c>
      <c r="T374" s="8">
        <f>S374*1.33</f>
        <v>307.74722222222226</v>
      </c>
      <c r="U374" s="1">
        <v>240</v>
      </c>
      <c r="V374" s="9">
        <v>240</v>
      </c>
      <c r="W374" s="8">
        <f>1000/V374</f>
        <v>4.166666666666667</v>
      </c>
      <c r="X374" s="8">
        <f>8.33*W374</f>
        <v>34.708333333333336</v>
      </c>
      <c r="Y374" s="1">
        <v>30</v>
      </c>
      <c r="Z374" s="9">
        <v>30</v>
      </c>
      <c r="AA374" s="8">
        <f>1000/Z374</f>
        <v>33.333333333333336</v>
      </c>
      <c r="AB374" s="8">
        <f>8.33*AA374</f>
        <v>277.66666666666669</v>
      </c>
      <c r="AC374" s="1">
        <v>9</v>
      </c>
      <c r="AD374" s="9">
        <v>9</v>
      </c>
      <c r="AE374" s="8">
        <f>1000/AD374</f>
        <v>111.11111111111111</v>
      </c>
      <c r="AF374" s="8">
        <f>8.33*AE374</f>
        <v>925.55555555555554</v>
      </c>
      <c r="AG374" s="1">
        <v>3.5</v>
      </c>
      <c r="AH374" s="9">
        <v>3.5</v>
      </c>
      <c r="AI374" s="8">
        <f>1/AH374</f>
        <v>0.2857142857142857</v>
      </c>
      <c r="AJ374" s="8">
        <f>8.33*AI374</f>
        <v>2.38</v>
      </c>
    </row>
    <row r="375" spans="1:36" x14ac:dyDescent="0.2">
      <c r="A375">
        <v>-232</v>
      </c>
      <c r="B375" s="10" t="s">
        <v>36</v>
      </c>
      <c r="C375" s="11" t="s">
        <v>39</v>
      </c>
      <c r="D375" s="15" t="s">
        <v>826</v>
      </c>
      <c r="E375" s="13">
        <v>2</v>
      </c>
      <c r="F375" s="13">
        <v>12</v>
      </c>
      <c r="G375" s="13">
        <f t="shared" si="15"/>
        <v>334</v>
      </c>
      <c r="H375" s="13">
        <v>233</v>
      </c>
      <c r="I375" s="14">
        <f t="shared" si="16"/>
        <v>-232.07945205479453</v>
      </c>
      <c r="J375" s="15" t="s">
        <v>828</v>
      </c>
      <c r="K375" s="10">
        <v>30</v>
      </c>
      <c r="L375" s="16">
        <v>30</v>
      </c>
      <c r="M375" s="16">
        <f t="shared" si="20"/>
        <v>33.333333333333336</v>
      </c>
      <c r="N375" s="16">
        <f>8.33*M375</f>
        <v>277.66666666666669</v>
      </c>
      <c r="O375" s="16">
        <f>1.613*N375</f>
        <v>447.87633333333338</v>
      </c>
      <c r="T375" s="8"/>
      <c r="AE375" s="8"/>
      <c r="AF375" s="8"/>
    </row>
    <row r="376" spans="1:36" x14ac:dyDescent="0.2">
      <c r="A376">
        <v>-232</v>
      </c>
      <c r="B376" s="10" t="s">
        <v>36</v>
      </c>
      <c r="C376" s="11" t="s">
        <v>42</v>
      </c>
      <c r="D376" s="15" t="s">
        <v>829</v>
      </c>
      <c r="E376" s="13">
        <v>12</v>
      </c>
      <c r="F376" s="13">
        <v>12</v>
      </c>
      <c r="G376" s="13">
        <f t="shared" si="15"/>
        <v>334</v>
      </c>
      <c r="H376" s="13">
        <v>233</v>
      </c>
      <c r="I376" s="14">
        <f t="shared" si="16"/>
        <v>-232.05205479452056</v>
      </c>
      <c r="J376" s="15" t="s">
        <v>830</v>
      </c>
      <c r="K376" s="10" t="s">
        <v>148</v>
      </c>
      <c r="L376" s="16">
        <v>33</v>
      </c>
      <c r="M376" s="16">
        <f t="shared" si="20"/>
        <v>30.303030303030305</v>
      </c>
      <c r="N376" s="16">
        <f>8.33*M376</f>
        <v>252.42424242424244</v>
      </c>
      <c r="O376" s="16">
        <f>1.613*N376</f>
        <v>407.16030303030306</v>
      </c>
      <c r="T376" s="8"/>
      <c r="AE376" s="8"/>
      <c r="AF376" s="8"/>
    </row>
    <row r="377" spans="1:36" x14ac:dyDescent="0.2">
      <c r="A377">
        <v>-232</v>
      </c>
      <c r="B377" s="10" t="s">
        <v>36</v>
      </c>
      <c r="C377" s="11" t="s">
        <v>45</v>
      </c>
      <c r="D377" s="15" t="s">
        <v>831</v>
      </c>
      <c r="E377" s="13">
        <v>22</v>
      </c>
      <c r="F377" s="13">
        <v>12</v>
      </c>
      <c r="G377" s="13">
        <f t="shared" si="15"/>
        <v>334</v>
      </c>
      <c r="H377" s="13">
        <v>233</v>
      </c>
      <c r="I377" s="14">
        <f t="shared" si="16"/>
        <v>-232.02465753424659</v>
      </c>
      <c r="J377" s="15" t="s">
        <v>827</v>
      </c>
      <c r="K377" s="10">
        <v>36</v>
      </c>
      <c r="L377" s="16">
        <v>36</v>
      </c>
      <c r="M377" s="16">
        <f t="shared" si="20"/>
        <v>27.777777777777779</v>
      </c>
      <c r="N377" s="16">
        <f>8.33*M377</f>
        <v>231.38888888888889</v>
      </c>
      <c r="O377" s="16">
        <f>1.613*N377</f>
        <v>373.23027777777776</v>
      </c>
      <c r="T377" s="8"/>
      <c r="AE377" s="8"/>
      <c r="AF377" s="8"/>
    </row>
    <row r="378" spans="1:36" x14ac:dyDescent="0.2">
      <c r="A378">
        <v>-232</v>
      </c>
      <c r="B378" s="10" t="s">
        <v>75</v>
      </c>
      <c r="D378" s="15" t="s">
        <v>832</v>
      </c>
      <c r="E378" s="13">
        <v>1</v>
      </c>
      <c r="F378" s="13">
        <v>1</v>
      </c>
      <c r="G378" s="13">
        <f t="shared" si="15"/>
        <v>0</v>
      </c>
      <c r="H378" s="13">
        <v>232</v>
      </c>
      <c r="I378" s="14">
        <f t="shared" si="16"/>
        <v>-231.99726027397261</v>
      </c>
      <c r="J378" s="15" t="s">
        <v>833</v>
      </c>
      <c r="P378" s="1">
        <v>36</v>
      </c>
      <c r="Q378" s="9">
        <v>36</v>
      </c>
      <c r="R378" s="8">
        <f>1000/Q378</f>
        <v>27.777777777777779</v>
      </c>
      <c r="S378" s="8">
        <f>8.33*R378</f>
        <v>231.38888888888889</v>
      </c>
      <c r="T378" s="8">
        <f>S378*1.33</f>
        <v>307.74722222222226</v>
      </c>
      <c r="AE378" s="8"/>
      <c r="AF378" s="8"/>
    </row>
    <row r="379" spans="1:36" x14ac:dyDescent="0.2">
      <c r="A379">
        <v>-232</v>
      </c>
      <c r="B379" s="10" t="s">
        <v>75</v>
      </c>
      <c r="C379" s="11" t="s">
        <v>39</v>
      </c>
      <c r="D379" s="15" t="s">
        <v>832</v>
      </c>
      <c r="E379" s="13">
        <v>1</v>
      </c>
      <c r="F379" s="13">
        <v>1</v>
      </c>
      <c r="G379" s="13">
        <f t="shared" si="15"/>
        <v>0</v>
      </c>
      <c r="H379" s="13">
        <v>232</v>
      </c>
      <c r="I379" s="14">
        <f t="shared" si="16"/>
        <v>-231.99726027397261</v>
      </c>
      <c r="J379" s="15" t="s">
        <v>834</v>
      </c>
      <c r="K379" s="10" t="s">
        <v>148</v>
      </c>
      <c r="L379" s="19">
        <v>33</v>
      </c>
      <c r="M379" s="19">
        <f t="shared" si="20"/>
        <v>30.303030303030305</v>
      </c>
      <c r="N379" s="19">
        <f>8.33*M379</f>
        <v>252.42424242424244</v>
      </c>
      <c r="O379" s="19">
        <f>1.613*N379</f>
        <v>407.16030303030306</v>
      </c>
      <c r="T379" s="8"/>
      <c r="U379" t="s">
        <v>835</v>
      </c>
      <c r="AE379" s="8"/>
      <c r="AF379" s="8"/>
    </row>
    <row r="380" spans="1:36" x14ac:dyDescent="0.2">
      <c r="A380">
        <v>-232</v>
      </c>
      <c r="B380" s="10" t="s">
        <v>75</v>
      </c>
      <c r="C380" s="11" t="s">
        <v>42</v>
      </c>
      <c r="D380" s="15" t="s">
        <v>836</v>
      </c>
      <c r="E380" s="13">
        <v>11</v>
      </c>
      <c r="F380" s="13">
        <v>1</v>
      </c>
      <c r="G380" s="13">
        <f t="shared" si="15"/>
        <v>0</v>
      </c>
      <c r="H380" s="13">
        <v>232</v>
      </c>
      <c r="I380" s="14">
        <f t="shared" si="16"/>
        <v>-231.96986301369864</v>
      </c>
      <c r="J380" s="15" t="s">
        <v>837</v>
      </c>
      <c r="K380" s="10" t="s">
        <v>838</v>
      </c>
      <c r="L380" s="19">
        <v>27</v>
      </c>
      <c r="M380" s="19">
        <f t="shared" si="20"/>
        <v>37.037037037037038</v>
      </c>
      <c r="N380" s="19">
        <f>8.33*M380</f>
        <v>308.51851851851853</v>
      </c>
      <c r="O380" s="19">
        <f>1.613*N380</f>
        <v>497.64037037037036</v>
      </c>
      <c r="T380" s="8"/>
      <c r="AE380" s="8"/>
      <c r="AF380" s="8"/>
    </row>
    <row r="381" spans="1:36" x14ac:dyDescent="0.2">
      <c r="A381">
        <v>-232</v>
      </c>
      <c r="B381" s="10" t="s">
        <v>75</v>
      </c>
      <c r="C381" s="11" t="s">
        <v>45</v>
      </c>
      <c r="D381" s="15" t="s">
        <v>839</v>
      </c>
      <c r="E381" s="13">
        <v>21</v>
      </c>
      <c r="F381" s="13">
        <v>1</v>
      </c>
      <c r="G381" s="13">
        <f t="shared" si="15"/>
        <v>0</v>
      </c>
      <c r="H381" s="13">
        <v>232</v>
      </c>
      <c r="I381" s="14">
        <f t="shared" si="16"/>
        <v>-231.94246575342467</v>
      </c>
      <c r="J381" s="15" t="s">
        <v>833</v>
      </c>
      <c r="T381" s="8"/>
      <c r="AE381" s="8"/>
      <c r="AF381" s="8"/>
    </row>
    <row r="382" spans="1:36" x14ac:dyDescent="0.2">
      <c r="A382">
        <v>-232</v>
      </c>
      <c r="B382" s="10" t="s">
        <v>83</v>
      </c>
      <c r="D382" s="15" t="s">
        <v>840</v>
      </c>
      <c r="E382" s="13">
        <v>30</v>
      </c>
      <c r="F382" s="13">
        <v>1</v>
      </c>
      <c r="G382" s="13">
        <f t="shared" si="15"/>
        <v>0</v>
      </c>
      <c r="H382" s="13">
        <v>232</v>
      </c>
      <c r="I382" s="14">
        <f t="shared" si="16"/>
        <v>-231.91780821917808</v>
      </c>
      <c r="J382" s="15" t="s">
        <v>841</v>
      </c>
      <c r="K382" s="10">
        <v>39</v>
      </c>
      <c r="L382" s="16">
        <v>39</v>
      </c>
      <c r="M382" s="16">
        <f t="shared" si="20"/>
        <v>25.641025641025642</v>
      </c>
      <c r="N382" s="16">
        <f>8.33*M382</f>
        <v>213.58974358974359</v>
      </c>
      <c r="O382" s="16">
        <f>1.613*N382</f>
        <v>344.52025641025642</v>
      </c>
      <c r="T382" s="8"/>
      <c r="AE382" s="8"/>
      <c r="AF382" s="8"/>
      <c r="AG382" s="1">
        <v>3.5</v>
      </c>
      <c r="AH382" s="9">
        <v>3.5</v>
      </c>
      <c r="AI382" s="8">
        <f>1/AH382</f>
        <v>0.2857142857142857</v>
      </c>
      <c r="AJ382" s="8">
        <f>8.33*AI382</f>
        <v>2.38</v>
      </c>
    </row>
    <row r="383" spans="1:36" x14ac:dyDescent="0.2">
      <c r="A383">
        <v>-232</v>
      </c>
      <c r="B383" s="10" t="s">
        <v>127</v>
      </c>
      <c r="D383" s="15" t="s">
        <v>842</v>
      </c>
      <c r="E383" s="13">
        <v>1</v>
      </c>
      <c r="F383" s="13">
        <v>3</v>
      </c>
      <c r="G383" s="13">
        <f t="shared" si="15"/>
        <v>59</v>
      </c>
      <c r="H383" s="13">
        <v>232</v>
      </c>
      <c r="I383" s="14">
        <f t="shared" si="16"/>
        <v>-231.83561643835617</v>
      </c>
      <c r="J383" s="15" t="s">
        <v>843</v>
      </c>
      <c r="T383" s="8"/>
      <c r="U383" s="1" t="s">
        <v>844</v>
      </c>
      <c r="V383" s="21">
        <v>210</v>
      </c>
      <c r="W383" s="22">
        <f>1000/V383</f>
        <v>4.7619047619047619</v>
      </c>
      <c r="X383" s="22">
        <f>8.33*W383</f>
        <v>39.666666666666664</v>
      </c>
      <c r="Y383" s="1">
        <v>42</v>
      </c>
      <c r="Z383" s="9">
        <v>42</v>
      </c>
      <c r="AA383" s="8">
        <f>1000/Z383</f>
        <v>23.80952380952381</v>
      </c>
      <c r="AB383" s="8">
        <f>8.33*AA383</f>
        <v>198.33333333333334</v>
      </c>
      <c r="AC383" s="1">
        <v>6</v>
      </c>
      <c r="AD383" s="9">
        <v>6</v>
      </c>
      <c r="AE383" s="8">
        <f>1000/AD383</f>
        <v>166.66666666666666</v>
      </c>
      <c r="AF383" s="8">
        <f>8.33*AE383</f>
        <v>1388.3333333333333</v>
      </c>
      <c r="AG383" t="s">
        <v>41</v>
      </c>
    </row>
    <row r="384" spans="1:36" x14ac:dyDescent="0.2">
      <c r="A384">
        <v>-230</v>
      </c>
      <c r="B384" s="10" t="s">
        <v>60</v>
      </c>
      <c r="D384" s="15" t="s">
        <v>845</v>
      </c>
      <c r="E384" s="13">
        <v>18</v>
      </c>
      <c r="F384" s="13">
        <v>4</v>
      </c>
      <c r="G384" s="13">
        <f t="shared" si="15"/>
        <v>90</v>
      </c>
      <c r="H384" s="13">
        <v>231</v>
      </c>
      <c r="I384" s="14">
        <f t="shared" si="16"/>
        <v>-230.70410958904111</v>
      </c>
      <c r="J384" s="15" t="s">
        <v>846</v>
      </c>
      <c r="K384" s="10" t="s">
        <v>41</v>
      </c>
      <c r="P384" s="1">
        <v>108</v>
      </c>
      <c r="Q384" s="9">
        <v>108</v>
      </c>
      <c r="R384" s="8">
        <f>1000/Q384</f>
        <v>9.2592592592592595</v>
      </c>
      <c r="S384" s="8">
        <f>8.33*R384</f>
        <v>77.129629629629633</v>
      </c>
      <c r="T384" s="8">
        <f>S384*1.33</f>
        <v>102.58240740740742</v>
      </c>
      <c r="U384" s="1">
        <v>180</v>
      </c>
      <c r="V384" s="9">
        <v>180</v>
      </c>
      <c r="W384" s="8">
        <f>1000/V384</f>
        <v>5.5555555555555554</v>
      </c>
      <c r="X384" s="8">
        <f>8.33*W384</f>
        <v>46.277777777777779</v>
      </c>
      <c r="Y384" s="1">
        <v>78</v>
      </c>
      <c r="Z384" s="9">
        <v>78</v>
      </c>
      <c r="AA384" s="8">
        <f>1000/Z384</f>
        <v>12.820512820512821</v>
      </c>
      <c r="AB384" s="8">
        <f>8.33*AA384</f>
        <v>106.7948717948718</v>
      </c>
      <c r="AC384" t="s">
        <v>41</v>
      </c>
      <c r="AE384" s="8"/>
      <c r="AF384" s="8"/>
      <c r="AG384" t="s">
        <v>41</v>
      </c>
    </row>
    <row r="385" spans="1:37" x14ac:dyDescent="0.2">
      <c r="A385">
        <v>-230</v>
      </c>
      <c r="B385" s="10" t="s">
        <v>72</v>
      </c>
      <c r="D385" s="15" t="s">
        <v>847</v>
      </c>
      <c r="E385" s="13">
        <v>12</v>
      </c>
      <c r="F385" s="13">
        <v>9</v>
      </c>
      <c r="G385" s="13">
        <f t="shared" si="15"/>
        <v>243</v>
      </c>
      <c r="H385" s="13">
        <v>231</v>
      </c>
      <c r="I385" s="14">
        <f t="shared" si="16"/>
        <v>-230.30136986301369</v>
      </c>
      <c r="J385" s="15" t="s">
        <v>848</v>
      </c>
      <c r="K385" s="10" t="s">
        <v>849</v>
      </c>
      <c r="L385" s="19">
        <v>165</v>
      </c>
      <c r="M385" s="19">
        <f t="shared" si="20"/>
        <v>6.0606060606060606</v>
      </c>
      <c r="N385" s="19">
        <f>8.33*M385</f>
        <v>50.484848484848484</v>
      </c>
      <c r="O385" s="19">
        <f>1.613*N385</f>
        <v>81.432060606060602</v>
      </c>
      <c r="R385" s="8"/>
      <c r="S385" s="8"/>
      <c r="T385" s="8"/>
      <c r="W385" s="8"/>
      <c r="X385" s="8"/>
      <c r="AE385" s="8"/>
      <c r="AF385" s="8"/>
    </row>
    <row r="386" spans="1:37" x14ac:dyDescent="0.2">
      <c r="A386">
        <v>-229</v>
      </c>
      <c r="B386" s="10" t="s">
        <v>83</v>
      </c>
      <c r="D386" s="15" t="s">
        <v>850</v>
      </c>
      <c r="E386" s="13">
        <v>28</v>
      </c>
      <c r="F386" s="13">
        <v>1</v>
      </c>
      <c r="G386" s="13">
        <f t="shared" ref="G386:G449" si="21">INDEX(A$1502:A$1513,F386)</f>
        <v>0</v>
      </c>
      <c r="H386" s="13">
        <v>229</v>
      </c>
      <c r="I386" s="14">
        <f t="shared" si="16"/>
        <v>-228.92328767123288</v>
      </c>
      <c r="J386" s="15" t="s">
        <v>851</v>
      </c>
      <c r="K386" s="2">
        <v>198</v>
      </c>
      <c r="L386" s="8">
        <v>198</v>
      </c>
      <c r="M386" s="8">
        <f t="shared" si="20"/>
        <v>5.0505050505050502</v>
      </c>
      <c r="N386" s="8">
        <f>8.33*M386</f>
        <v>42.070707070707066</v>
      </c>
      <c r="O386" s="8">
        <f>1.613*N386</f>
        <v>67.860050505050495</v>
      </c>
      <c r="P386" s="1">
        <v>108</v>
      </c>
      <c r="Q386" s="9">
        <v>108</v>
      </c>
      <c r="R386" s="8">
        <f>1000/Q386</f>
        <v>9.2592592592592595</v>
      </c>
      <c r="S386" s="8">
        <f>8.33*R386</f>
        <v>77.129629629629633</v>
      </c>
      <c r="T386" s="8">
        <f>S386*1.33</f>
        <v>102.58240740740742</v>
      </c>
      <c r="U386" s="1">
        <v>180</v>
      </c>
      <c r="V386" s="9">
        <v>180</v>
      </c>
      <c r="W386" s="8">
        <f>1000/V386</f>
        <v>5.5555555555555554</v>
      </c>
      <c r="X386" s="8">
        <f>8.33*W386</f>
        <v>46.277777777777779</v>
      </c>
      <c r="Y386" s="1">
        <v>72</v>
      </c>
      <c r="Z386" s="9">
        <v>72</v>
      </c>
      <c r="AA386" s="8">
        <f>1000/Z386</f>
        <v>13.888888888888889</v>
      </c>
      <c r="AB386" s="8">
        <f>8.33*AA386</f>
        <v>115.69444444444444</v>
      </c>
      <c r="AC386" s="1">
        <v>36</v>
      </c>
      <c r="AD386" s="9">
        <v>36</v>
      </c>
      <c r="AE386" s="8">
        <f>1000/AD386</f>
        <v>27.777777777777779</v>
      </c>
      <c r="AF386" s="8">
        <f>8.33*AE386</f>
        <v>231.38888888888889</v>
      </c>
      <c r="AK386" t="s">
        <v>852</v>
      </c>
    </row>
    <row r="387" spans="1:37" x14ac:dyDescent="0.2">
      <c r="A387">
        <v>-226</v>
      </c>
      <c r="B387" s="10" t="s">
        <v>47</v>
      </c>
      <c r="D387" s="15" t="s">
        <v>853</v>
      </c>
      <c r="E387" s="13">
        <v>3</v>
      </c>
      <c r="F387" s="13">
        <v>5</v>
      </c>
      <c r="G387" s="13">
        <f t="shared" si="21"/>
        <v>120</v>
      </c>
      <c r="H387" s="13">
        <v>227</v>
      </c>
      <c r="I387" s="14">
        <f t="shared" ref="I387:I450" si="22">($E387+$G387)/365-$H387</f>
        <v>-226.66301369863012</v>
      </c>
      <c r="J387" s="15" t="s">
        <v>854</v>
      </c>
      <c r="P387" s="1">
        <v>96</v>
      </c>
      <c r="Q387" s="9">
        <v>96</v>
      </c>
      <c r="R387" s="8">
        <f>1000/Q387</f>
        <v>10.416666666666666</v>
      </c>
      <c r="S387" s="8">
        <f>8.33*R387</f>
        <v>86.770833333333329</v>
      </c>
      <c r="T387" s="8">
        <f>S387*1.33</f>
        <v>115.40520833333333</v>
      </c>
      <c r="U387" s="1"/>
      <c r="V387" s="9"/>
      <c r="Y387" s="1"/>
      <c r="Z387" s="9"/>
    </row>
    <row r="388" spans="1:37" x14ac:dyDescent="0.2">
      <c r="A388">
        <v>-226</v>
      </c>
      <c r="B388" s="10" t="s">
        <v>47</v>
      </c>
      <c r="C388" s="11" t="s">
        <v>39</v>
      </c>
      <c r="D388" s="15" t="s">
        <v>853</v>
      </c>
      <c r="E388" s="13">
        <v>3</v>
      </c>
      <c r="F388" s="13">
        <v>5</v>
      </c>
      <c r="G388" s="13">
        <f t="shared" si="21"/>
        <v>120</v>
      </c>
      <c r="H388" s="13">
        <v>227</v>
      </c>
      <c r="I388" s="14">
        <f t="shared" si="22"/>
        <v>-226.66301369863012</v>
      </c>
      <c r="J388" s="15" t="s">
        <v>855</v>
      </c>
      <c r="K388" s="10">
        <v>102</v>
      </c>
      <c r="L388" s="16">
        <v>102</v>
      </c>
      <c r="M388" s="16">
        <f t="shared" si="20"/>
        <v>9.8039215686274517</v>
      </c>
      <c r="N388" s="16">
        <f>8.33*M388</f>
        <v>81.666666666666671</v>
      </c>
      <c r="O388" s="16">
        <f>1.613*N388</f>
        <v>131.72833333333335</v>
      </c>
      <c r="T388" s="8"/>
      <c r="U388" s="18" t="s">
        <v>856</v>
      </c>
      <c r="V388" s="20">
        <v>270</v>
      </c>
      <c r="W388" s="19">
        <f>1000/V388</f>
        <v>3.7037037037037037</v>
      </c>
      <c r="X388" s="19">
        <f>8.33*W388</f>
        <v>30.851851851851851</v>
      </c>
    </row>
    <row r="389" spans="1:37" x14ac:dyDescent="0.2">
      <c r="A389">
        <v>-226</v>
      </c>
      <c r="B389" s="10" t="s">
        <v>47</v>
      </c>
      <c r="C389" s="11" t="s">
        <v>42</v>
      </c>
      <c r="D389" s="15" t="s">
        <v>857</v>
      </c>
      <c r="E389" s="13">
        <v>13</v>
      </c>
      <c r="F389" s="13">
        <v>5</v>
      </c>
      <c r="G389" s="13">
        <f t="shared" si="21"/>
        <v>120</v>
      </c>
      <c r="H389" s="13">
        <v>227</v>
      </c>
      <c r="I389" s="14">
        <f t="shared" si="22"/>
        <v>-226.63561643835615</v>
      </c>
      <c r="J389" s="15" t="s">
        <v>858</v>
      </c>
      <c r="L389" s="19">
        <v>102</v>
      </c>
      <c r="M389" s="19">
        <v>9.8000000000000007</v>
      </c>
      <c r="N389" s="19">
        <v>81.67</v>
      </c>
      <c r="O389" s="19">
        <v>131.72999999999999</v>
      </c>
      <c r="T389" s="8"/>
    </row>
    <row r="390" spans="1:37" x14ac:dyDescent="0.2">
      <c r="A390">
        <v>-226</v>
      </c>
      <c r="B390" s="10" t="s">
        <v>47</v>
      </c>
      <c r="C390" s="11" t="s">
        <v>45</v>
      </c>
      <c r="D390" s="15" t="s">
        <v>859</v>
      </c>
      <c r="E390" s="13">
        <v>23</v>
      </c>
      <c r="F390" s="13">
        <v>5</v>
      </c>
      <c r="G390" s="13">
        <f t="shared" si="21"/>
        <v>120</v>
      </c>
      <c r="H390" s="13">
        <v>227</v>
      </c>
      <c r="I390" s="14">
        <f t="shared" si="22"/>
        <v>-226.60821917808218</v>
      </c>
      <c r="J390" s="15" t="s">
        <v>854</v>
      </c>
      <c r="K390" s="10">
        <v>108</v>
      </c>
      <c r="L390" s="16">
        <v>108</v>
      </c>
      <c r="M390" s="16">
        <f t="shared" si="20"/>
        <v>9.2592592592592595</v>
      </c>
      <c r="N390" s="16">
        <f>8.33*M390</f>
        <v>77.129629629629633</v>
      </c>
      <c r="O390" s="16">
        <f>1.613*N390</f>
        <v>124.41009259259259</v>
      </c>
      <c r="T390" s="8"/>
    </row>
    <row r="391" spans="1:37" x14ac:dyDescent="0.2">
      <c r="A391">
        <v>-226</v>
      </c>
      <c r="B391" s="10" t="s">
        <v>65</v>
      </c>
      <c r="D391" s="15" t="s">
        <v>860</v>
      </c>
      <c r="E391" s="13">
        <v>2</v>
      </c>
      <c r="F391" s="13">
        <v>6</v>
      </c>
      <c r="G391" s="13">
        <f t="shared" si="21"/>
        <v>151</v>
      </c>
      <c r="H391" s="13">
        <v>227</v>
      </c>
      <c r="I391" s="14">
        <f t="shared" si="22"/>
        <v>-226.58082191780821</v>
      </c>
      <c r="J391" s="15" t="s">
        <v>861</v>
      </c>
      <c r="T391" s="8"/>
      <c r="Y391" s="1">
        <v>48</v>
      </c>
      <c r="Z391" s="9">
        <v>48</v>
      </c>
      <c r="AA391" s="8">
        <f>1000/Z391</f>
        <v>20.833333333333332</v>
      </c>
      <c r="AB391" s="8">
        <f>8.33*AA391</f>
        <v>173.54166666666666</v>
      </c>
    </row>
    <row r="392" spans="1:37" x14ac:dyDescent="0.2">
      <c r="A392">
        <v>-226</v>
      </c>
      <c r="B392" s="10" t="s">
        <v>65</v>
      </c>
      <c r="C392" s="11" t="s">
        <v>39</v>
      </c>
      <c r="D392" s="15" t="s">
        <v>860</v>
      </c>
      <c r="E392" s="13">
        <v>2</v>
      </c>
      <c r="F392" s="13">
        <v>6</v>
      </c>
      <c r="G392" s="13">
        <f t="shared" si="21"/>
        <v>151</v>
      </c>
      <c r="H392" s="13">
        <v>227</v>
      </c>
      <c r="I392" s="14">
        <f t="shared" si="22"/>
        <v>-226.58082191780821</v>
      </c>
      <c r="J392" s="15" t="s">
        <v>862</v>
      </c>
      <c r="T392" s="8"/>
      <c r="AC392">
        <v>30</v>
      </c>
      <c r="AD392" s="17">
        <v>30</v>
      </c>
      <c r="AE392" s="16">
        <f>1000/AD392</f>
        <v>33.333333333333336</v>
      </c>
      <c r="AF392" s="16">
        <f>8.33*AE392</f>
        <v>277.66666666666669</v>
      </c>
    </row>
    <row r="393" spans="1:37" x14ac:dyDescent="0.2">
      <c r="A393">
        <v>-226</v>
      </c>
      <c r="B393" s="10" t="s">
        <v>65</v>
      </c>
      <c r="C393" s="11" t="s">
        <v>42</v>
      </c>
      <c r="D393" s="15" t="s">
        <v>863</v>
      </c>
      <c r="E393" s="13">
        <v>12</v>
      </c>
      <c r="F393" s="13">
        <v>6</v>
      </c>
      <c r="G393" s="13">
        <f t="shared" si="21"/>
        <v>151</v>
      </c>
      <c r="H393" s="13">
        <v>227</v>
      </c>
      <c r="I393" s="14">
        <f t="shared" si="22"/>
        <v>-226.55342465753424</v>
      </c>
      <c r="J393" s="15" t="s">
        <v>864</v>
      </c>
      <c r="T393" s="8"/>
    </row>
    <row r="394" spans="1:37" x14ac:dyDescent="0.2">
      <c r="A394">
        <v>-226</v>
      </c>
      <c r="B394" s="10" t="s">
        <v>65</v>
      </c>
      <c r="C394" s="11" t="s">
        <v>45</v>
      </c>
      <c r="D394" s="15" t="s">
        <v>865</v>
      </c>
      <c r="E394" s="13">
        <v>22</v>
      </c>
      <c r="F394" s="13">
        <v>6</v>
      </c>
      <c r="G394" s="13">
        <f t="shared" si="21"/>
        <v>151</v>
      </c>
      <c r="H394" s="13">
        <v>227</v>
      </c>
      <c r="I394" s="14">
        <f t="shared" si="22"/>
        <v>-226.52602739726026</v>
      </c>
      <c r="J394" s="15" t="s">
        <v>861</v>
      </c>
      <c r="T394" s="8"/>
      <c r="AC394">
        <v>24</v>
      </c>
      <c r="AD394" s="17">
        <v>24</v>
      </c>
      <c r="AE394" s="16">
        <f>1000/AD394</f>
        <v>41.666666666666664</v>
      </c>
      <c r="AF394" s="16">
        <f>8.33*AE394</f>
        <v>347.08333333333331</v>
      </c>
    </row>
    <row r="395" spans="1:37" x14ac:dyDescent="0.2">
      <c r="A395">
        <v>-225</v>
      </c>
      <c r="B395" s="10" t="s">
        <v>65</v>
      </c>
      <c r="D395" s="15" t="s">
        <v>866</v>
      </c>
      <c r="E395" s="13">
        <v>21</v>
      </c>
      <c r="F395" s="13">
        <v>6</v>
      </c>
      <c r="G395" s="13">
        <f t="shared" si="21"/>
        <v>151</v>
      </c>
      <c r="H395" s="13">
        <v>226</v>
      </c>
      <c r="I395" s="14">
        <f t="shared" si="22"/>
        <v>-225.52876712328768</v>
      </c>
      <c r="J395" s="15" t="s">
        <v>867</v>
      </c>
      <c r="P395" s="1" t="s">
        <v>311</v>
      </c>
      <c r="Q395" s="21">
        <v>96</v>
      </c>
      <c r="R395" s="22">
        <f>1000/Q395</f>
        <v>10.416666666666666</v>
      </c>
      <c r="S395" s="22">
        <f>8.33*R395</f>
        <v>86.770833333333329</v>
      </c>
      <c r="T395" s="8">
        <f>S395*1.33</f>
        <v>115.40520833333333</v>
      </c>
      <c r="U395" s="1">
        <v>180</v>
      </c>
      <c r="V395" s="9">
        <v>180</v>
      </c>
      <c r="W395" s="8">
        <f>1000/V395</f>
        <v>5.5555555555555554</v>
      </c>
      <c r="X395" s="8">
        <f>8.33*W395</f>
        <v>46.277777777777779</v>
      </c>
      <c r="Y395" s="1">
        <v>36</v>
      </c>
      <c r="Z395" s="9">
        <v>36</v>
      </c>
      <c r="AA395" s="8">
        <f>1000/Z395</f>
        <v>27.777777777777779</v>
      </c>
      <c r="AB395" s="8">
        <f>8.33*AA395</f>
        <v>231.38888888888889</v>
      </c>
      <c r="AC395" s="1">
        <v>24</v>
      </c>
      <c r="AD395" s="9">
        <v>24</v>
      </c>
      <c r="AE395" s="8">
        <f>1000/AD395</f>
        <v>41.666666666666664</v>
      </c>
      <c r="AF395" s="8">
        <f>8.33*AE395</f>
        <v>347.08333333333331</v>
      </c>
      <c r="AG395" s="1">
        <v>5</v>
      </c>
      <c r="AH395" s="9">
        <v>5</v>
      </c>
      <c r="AI395" s="8">
        <f>1/AH395</f>
        <v>0.2</v>
      </c>
      <c r="AJ395" s="8">
        <f>8.33*AI395</f>
        <v>1.6660000000000001</v>
      </c>
    </row>
    <row r="396" spans="1:37" x14ac:dyDescent="0.2">
      <c r="A396">
        <v>-225</v>
      </c>
      <c r="B396" s="10" t="s">
        <v>65</v>
      </c>
      <c r="C396" s="11" t="s">
        <v>39</v>
      </c>
      <c r="D396" s="15" t="s">
        <v>866</v>
      </c>
      <c r="E396" s="13">
        <v>21</v>
      </c>
      <c r="F396" s="13">
        <v>6</v>
      </c>
      <c r="G396" s="13">
        <f t="shared" si="21"/>
        <v>151</v>
      </c>
      <c r="H396" s="13">
        <v>226</v>
      </c>
      <c r="I396" s="14">
        <f t="shared" si="22"/>
        <v>-225.52876712328768</v>
      </c>
      <c r="J396" s="15" t="s">
        <v>868</v>
      </c>
      <c r="K396" s="10">
        <v>120</v>
      </c>
      <c r="L396" s="16">
        <v>120</v>
      </c>
      <c r="M396" s="16">
        <f t="shared" si="20"/>
        <v>8.3333333333333339</v>
      </c>
      <c r="N396" s="16">
        <f>8.33*M396</f>
        <v>69.416666666666671</v>
      </c>
      <c r="O396" s="16">
        <f>1.613*N396</f>
        <v>111.96908333333334</v>
      </c>
      <c r="T396" s="8"/>
    </row>
    <row r="397" spans="1:37" x14ac:dyDescent="0.2">
      <c r="A397">
        <v>-225</v>
      </c>
      <c r="B397" s="10" t="s">
        <v>65</v>
      </c>
      <c r="C397" s="11" t="s">
        <v>42</v>
      </c>
      <c r="D397" s="15" t="s">
        <v>869</v>
      </c>
      <c r="E397" s="13">
        <v>1</v>
      </c>
      <c r="F397" s="13">
        <v>7</v>
      </c>
      <c r="G397" s="13">
        <f t="shared" si="21"/>
        <v>181</v>
      </c>
      <c r="H397" s="13">
        <v>226</v>
      </c>
      <c r="I397" s="14">
        <f t="shared" si="22"/>
        <v>-225.50136986301371</v>
      </c>
      <c r="J397" s="15" t="s">
        <v>870</v>
      </c>
      <c r="L397" s="19">
        <v>120</v>
      </c>
      <c r="M397" s="19">
        <v>8.33</v>
      </c>
      <c r="N397" s="19">
        <v>69.42</v>
      </c>
      <c r="O397" s="19">
        <v>111.97</v>
      </c>
      <c r="T397" s="8"/>
    </row>
    <row r="398" spans="1:37" x14ac:dyDescent="0.2">
      <c r="A398">
        <v>-225</v>
      </c>
      <c r="B398" s="10" t="s">
        <v>65</v>
      </c>
      <c r="C398" s="11" t="s">
        <v>45</v>
      </c>
      <c r="D398" s="15" t="s">
        <v>871</v>
      </c>
      <c r="E398" s="13">
        <v>11</v>
      </c>
      <c r="F398" s="13">
        <v>7</v>
      </c>
      <c r="G398" s="13">
        <f t="shared" si="21"/>
        <v>181</v>
      </c>
      <c r="H398" s="13">
        <v>226</v>
      </c>
      <c r="I398" s="14">
        <f t="shared" si="22"/>
        <v>-225.47397260273974</v>
      </c>
      <c r="J398" s="15" t="s">
        <v>867</v>
      </c>
      <c r="K398" s="10">
        <v>132</v>
      </c>
      <c r="L398" s="16">
        <v>132</v>
      </c>
      <c r="M398" s="16">
        <f t="shared" si="20"/>
        <v>7.5757575757575761</v>
      </c>
      <c r="N398" s="16">
        <f>8.33*M398</f>
        <v>63.106060606060609</v>
      </c>
      <c r="O398" s="16">
        <f>1.613*N398</f>
        <v>101.79007575757576</v>
      </c>
      <c r="P398" t="s">
        <v>133</v>
      </c>
      <c r="T398" s="8"/>
    </row>
    <row r="399" spans="1:37" x14ac:dyDescent="0.2">
      <c r="A399">
        <v>-225</v>
      </c>
      <c r="B399" s="10" t="s">
        <v>130</v>
      </c>
      <c r="D399" s="15" t="s">
        <v>872</v>
      </c>
      <c r="E399" s="13">
        <v>20</v>
      </c>
      <c r="F399" s="13">
        <v>7</v>
      </c>
      <c r="G399" s="13">
        <f t="shared" si="21"/>
        <v>181</v>
      </c>
      <c r="H399" s="13">
        <v>226</v>
      </c>
      <c r="I399" s="14">
        <f t="shared" si="22"/>
        <v>-225.44931506849315</v>
      </c>
      <c r="J399" s="15" t="s">
        <v>873</v>
      </c>
      <c r="K399" s="2">
        <v>135</v>
      </c>
      <c r="L399" s="8">
        <v>135</v>
      </c>
      <c r="M399" s="8">
        <f t="shared" si="20"/>
        <v>7.4074074074074074</v>
      </c>
      <c r="N399" s="8">
        <f>8.33*M399</f>
        <v>61.703703703703702</v>
      </c>
      <c r="O399" s="8">
        <f>1.613*N399</f>
        <v>99.52807407407407</v>
      </c>
      <c r="P399" s="1">
        <v>96</v>
      </c>
      <c r="Q399" s="9">
        <v>96</v>
      </c>
      <c r="R399" s="8">
        <f>1000/Q399</f>
        <v>10.416666666666666</v>
      </c>
      <c r="S399" s="8">
        <f>8.33*R399</f>
        <v>86.770833333333329</v>
      </c>
      <c r="T399" s="8">
        <f>S399*1.33</f>
        <v>115.40520833333333</v>
      </c>
      <c r="U399" s="1" t="s">
        <v>41</v>
      </c>
      <c r="V399" s="9"/>
      <c r="W399" s="8"/>
      <c r="X399" s="8"/>
      <c r="Y399" s="1" t="s">
        <v>109</v>
      </c>
      <c r="Z399" s="9">
        <v>72</v>
      </c>
      <c r="AA399" s="8">
        <f>1000/Z399</f>
        <v>13.888888888888889</v>
      </c>
      <c r="AB399" s="8">
        <f>8.33*AA399</f>
        <v>115.69444444444444</v>
      </c>
      <c r="AC399" s="1">
        <v>24</v>
      </c>
      <c r="AD399" s="9">
        <v>24</v>
      </c>
      <c r="AE399" s="8">
        <f>1000/AD399</f>
        <v>41.666666666666664</v>
      </c>
      <c r="AF399" s="8">
        <f>8.33*AE399</f>
        <v>347.08333333333331</v>
      </c>
      <c r="AG399" s="1">
        <v>5</v>
      </c>
      <c r="AH399" s="9">
        <v>5</v>
      </c>
      <c r="AI399" s="8">
        <f>1/AH399</f>
        <v>0.2</v>
      </c>
      <c r="AJ399" s="8">
        <f>8.33*AI399</f>
        <v>1.6660000000000001</v>
      </c>
    </row>
    <row r="400" spans="1:37" x14ac:dyDescent="0.2">
      <c r="A400">
        <v>-222</v>
      </c>
      <c r="B400" s="10" t="s">
        <v>75</v>
      </c>
      <c r="C400" s="11" t="s">
        <v>39</v>
      </c>
      <c r="D400" s="15" t="s">
        <v>874</v>
      </c>
      <c r="E400" s="13">
        <v>11</v>
      </c>
      <c r="F400" s="13">
        <v>1</v>
      </c>
      <c r="G400" s="13">
        <f t="shared" si="21"/>
        <v>0</v>
      </c>
      <c r="H400" s="13">
        <v>222</v>
      </c>
      <c r="I400" s="14">
        <f t="shared" si="22"/>
        <v>-221.96986301369864</v>
      </c>
      <c r="J400" s="15" t="s">
        <v>875</v>
      </c>
      <c r="P400">
        <v>120</v>
      </c>
      <c r="Q400" s="17">
        <v>120</v>
      </c>
      <c r="R400" s="16">
        <f>1000/Q400</f>
        <v>8.3333333333333339</v>
      </c>
      <c r="S400" s="16">
        <f>8.33*R400</f>
        <v>69.416666666666671</v>
      </c>
      <c r="T400" s="16">
        <f>S400*1.33</f>
        <v>92.324166666666684</v>
      </c>
    </row>
    <row r="401" spans="1:37" x14ac:dyDescent="0.2">
      <c r="A401">
        <v>-222</v>
      </c>
      <c r="B401" s="10" t="s">
        <v>75</v>
      </c>
      <c r="C401" s="11" t="s">
        <v>42</v>
      </c>
      <c r="D401" s="15" t="s">
        <v>876</v>
      </c>
      <c r="E401" s="13">
        <v>21</v>
      </c>
      <c r="F401" s="13">
        <v>1</v>
      </c>
      <c r="G401" s="13">
        <f t="shared" si="21"/>
        <v>0</v>
      </c>
      <c r="H401" s="13">
        <v>222</v>
      </c>
      <c r="I401" s="14">
        <f t="shared" si="22"/>
        <v>-221.94246575342467</v>
      </c>
      <c r="J401" s="15" t="s">
        <v>877</v>
      </c>
      <c r="K401" s="10">
        <v>72</v>
      </c>
      <c r="L401" s="16">
        <v>72</v>
      </c>
      <c r="M401" s="16">
        <f t="shared" si="20"/>
        <v>13.888888888888889</v>
      </c>
      <c r="N401" s="16">
        <f>8.33*M401</f>
        <v>115.69444444444444</v>
      </c>
      <c r="O401" s="16">
        <f>1.613*N401</f>
        <v>186.61513888888888</v>
      </c>
      <c r="T401" s="8"/>
    </row>
    <row r="402" spans="1:37" x14ac:dyDescent="0.2">
      <c r="A402">
        <v>-222</v>
      </c>
      <c r="B402" s="10" t="s">
        <v>75</v>
      </c>
      <c r="C402" s="11" t="s">
        <v>45</v>
      </c>
      <c r="D402" s="15" t="s">
        <v>878</v>
      </c>
      <c r="E402" s="13">
        <v>31</v>
      </c>
      <c r="F402" s="13">
        <v>1</v>
      </c>
      <c r="G402" s="13">
        <f t="shared" si="21"/>
        <v>0</v>
      </c>
      <c r="H402" s="13">
        <v>222</v>
      </c>
      <c r="I402" s="14">
        <f t="shared" si="22"/>
        <v>-221.9150684931507</v>
      </c>
      <c r="J402" s="15" t="s">
        <v>879</v>
      </c>
      <c r="K402" s="10">
        <v>84</v>
      </c>
      <c r="L402" s="16">
        <v>84</v>
      </c>
      <c r="M402" s="16">
        <f t="shared" si="20"/>
        <v>11.904761904761905</v>
      </c>
      <c r="N402" s="16">
        <f>8.33*M402</f>
        <v>99.166666666666671</v>
      </c>
      <c r="O402" s="16">
        <f>1.613*N402</f>
        <v>159.95583333333335</v>
      </c>
      <c r="T402" s="8"/>
    </row>
    <row r="403" spans="1:37" x14ac:dyDescent="0.2">
      <c r="A403">
        <v>-221</v>
      </c>
      <c r="B403" s="10" t="s">
        <v>36</v>
      </c>
      <c r="C403" s="11" t="s">
        <v>39</v>
      </c>
      <c r="D403" s="15" t="s">
        <v>880</v>
      </c>
      <c r="E403" s="13">
        <v>1</v>
      </c>
      <c r="F403" s="13">
        <v>12</v>
      </c>
      <c r="G403" s="13">
        <f t="shared" si="21"/>
        <v>334</v>
      </c>
      <c r="H403" s="13">
        <v>222</v>
      </c>
      <c r="I403" s="14">
        <f t="shared" si="22"/>
        <v>-221.08219178082192</v>
      </c>
      <c r="J403" s="15" t="s">
        <v>881</v>
      </c>
      <c r="K403" s="10">
        <v>114</v>
      </c>
      <c r="L403" s="16">
        <v>114</v>
      </c>
      <c r="M403" s="16">
        <f t="shared" si="20"/>
        <v>8.7719298245614041</v>
      </c>
      <c r="N403" s="16">
        <f>8.33*M403</f>
        <v>73.070175438596493</v>
      </c>
      <c r="O403" s="16">
        <f>1.613*N403</f>
        <v>117.86219298245614</v>
      </c>
      <c r="T403" s="8"/>
    </row>
    <row r="404" spans="1:37" x14ac:dyDescent="0.2">
      <c r="A404">
        <v>-221</v>
      </c>
      <c r="B404" s="10" t="s">
        <v>36</v>
      </c>
      <c r="C404" s="11" t="s">
        <v>42</v>
      </c>
      <c r="D404" s="15" t="s">
        <v>882</v>
      </c>
      <c r="E404" s="13">
        <v>11</v>
      </c>
      <c r="F404" s="13">
        <v>12</v>
      </c>
      <c r="G404" s="13">
        <f t="shared" si="21"/>
        <v>334</v>
      </c>
      <c r="H404" s="13">
        <v>222</v>
      </c>
      <c r="I404" s="14">
        <f t="shared" si="22"/>
        <v>-221.05479452054794</v>
      </c>
      <c r="J404" s="15" t="s">
        <v>883</v>
      </c>
      <c r="L404" s="19">
        <v>114</v>
      </c>
      <c r="M404" s="19">
        <f t="shared" si="20"/>
        <v>8.7719298245614041</v>
      </c>
      <c r="N404" s="19">
        <f>8.33*M404</f>
        <v>73.070175438596493</v>
      </c>
      <c r="O404" s="19">
        <f>1.613*N404</f>
        <v>117.86219298245614</v>
      </c>
      <c r="T404" s="8"/>
    </row>
    <row r="405" spans="1:37" x14ac:dyDescent="0.2">
      <c r="A405">
        <v>-221</v>
      </c>
      <c r="B405" s="10" t="s">
        <v>36</v>
      </c>
      <c r="C405" s="11" t="s">
        <v>45</v>
      </c>
      <c r="D405" s="15" t="s">
        <v>884</v>
      </c>
      <c r="E405" s="13">
        <v>21</v>
      </c>
      <c r="F405" s="13">
        <v>12</v>
      </c>
      <c r="G405" s="13">
        <f t="shared" si="21"/>
        <v>334</v>
      </c>
      <c r="H405" s="13">
        <v>222</v>
      </c>
      <c r="I405" s="14">
        <f t="shared" si="22"/>
        <v>-221.02739726027397</v>
      </c>
      <c r="J405" s="15" t="s">
        <v>885</v>
      </c>
      <c r="K405" s="10">
        <v>108</v>
      </c>
      <c r="L405" s="16">
        <v>108</v>
      </c>
      <c r="M405" s="16">
        <f t="shared" si="20"/>
        <v>9.2592592592592595</v>
      </c>
      <c r="N405" s="16">
        <f>8.33*M405</f>
        <v>77.129629629629633</v>
      </c>
      <c r="O405" s="16">
        <f>1.613*N405</f>
        <v>124.41009259259259</v>
      </c>
      <c r="T405" s="8"/>
    </row>
    <row r="406" spans="1:37" x14ac:dyDescent="0.2">
      <c r="A406">
        <v>-218</v>
      </c>
      <c r="B406" s="10" t="s">
        <v>91</v>
      </c>
      <c r="D406" s="15" t="s">
        <v>886</v>
      </c>
      <c r="E406" s="13">
        <v>30</v>
      </c>
      <c r="F406" s="13">
        <v>9</v>
      </c>
      <c r="G406" s="13">
        <f t="shared" si="21"/>
        <v>243</v>
      </c>
      <c r="H406" s="13">
        <v>219</v>
      </c>
      <c r="I406" s="14">
        <f t="shared" si="22"/>
        <v>-218.25205479452055</v>
      </c>
      <c r="J406" s="25" t="s">
        <v>887</v>
      </c>
      <c r="P406" s="1">
        <v>102</v>
      </c>
      <c r="Q406" s="9">
        <v>102</v>
      </c>
      <c r="R406" s="8">
        <f>1000/Q406</f>
        <v>9.8039215686274517</v>
      </c>
      <c r="S406" s="8">
        <f>8.33*R406</f>
        <v>81.666666666666671</v>
      </c>
      <c r="T406" s="8">
        <f>S406*1.33</f>
        <v>108.61666666666667</v>
      </c>
    </row>
    <row r="407" spans="1:37" x14ac:dyDescent="0.2">
      <c r="A407">
        <v>-218</v>
      </c>
      <c r="B407" s="10" t="s">
        <v>91</v>
      </c>
      <c r="C407" s="11" t="s">
        <v>39</v>
      </c>
      <c r="D407" s="15" t="s">
        <v>886</v>
      </c>
      <c r="E407" s="13">
        <v>30</v>
      </c>
      <c r="F407" s="13">
        <v>9</v>
      </c>
      <c r="G407" s="13">
        <f t="shared" si="21"/>
        <v>243</v>
      </c>
      <c r="H407" s="13">
        <v>219</v>
      </c>
      <c r="I407" s="14">
        <f t="shared" si="22"/>
        <v>-218.25205479452055</v>
      </c>
      <c r="J407" s="15" t="s">
        <v>888</v>
      </c>
      <c r="K407" s="10">
        <v>96</v>
      </c>
      <c r="L407" s="16">
        <v>96</v>
      </c>
      <c r="M407" s="16">
        <f t="shared" si="20"/>
        <v>10.416666666666666</v>
      </c>
      <c r="N407" s="16">
        <f>8.33*M407</f>
        <v>86.770833333333329</v>
      </c>
      <c r="O407" s="16">
        <f>1.613*N407</f>
        <v>139.96135416666667</v>
      </c>
      <c r="T407" s="8"/>
      <c r="U407" t="s">
        <v>41</v>
      </c>
      <c r="AK407" t="s">
        <v>889</v>
      </c>
    </row>
    <row r="408" spans="1:37" x14ac:dyDescent="0.2">
      <c r="A408">
        <v>-218</v>
      </c>
      <c r="B408" s="10" t="s">
        <v>91</v>
      </c>
      <c r="C408" s="11" t="s">
        <v>42</v>
      </c>
      <c r="D408" s="15" t="s">
        <v>890</v>
      </c>
      <c r="E408" s="13">
        <v>10</v>
      </c>
      <c r="F408" s="13">
        <v>10</v>
      </c>
      <c r="G408" s="13">
        <f t="shared" si="21"/>
        <v>273</v>
      </c>
      <c r="H408" s="13">
        <v>219</v>
      </c>
      <c r="I408" s="14">
        <f t="shared" si="22"/>
        <v>-218.22465753424657</v>
      </c>
      <c r="J408" s="15" t="s">
        <v>891</v>
      </c>
      <c r="K408" s="10">
        <v>93</v>
      </c>
      <c r="L408" s="16">
        <v>93</v>
      </c>
      <c r="M408" s="16">
        <f t="shared" si="20"/>
        <v>10.75268817204301</v>
      </c>
      <c r="N408" s="16">
        <f>8.33*M408</f>
        <v>89.569892473118273</v>
      </c>
      <c r="O408" s="16">
        <f>1.613*N408</f>
        <v>144.47623655913978</v>
      </c>
      <c r="T408" s="8"/>
    </row>
    <row r="409" spans="1:37" x14ac:dyDescent="0.2">
      <c r="A409">
        <v>-218</v>
      </c>
      <c r="B409" s="10" t="s">
        <v>91</v>
      </c>
      <c r="C409" s="11" t="s">
        <v>45</v>
      </c>
      <c r="D409" s="15" t="s">
        <v>892</v>
      </c>
      <c r="E409" s="13">
        <v>20</v>
      </c>
      <c r="F409" s="13">
        <v>10</v>
      </c>
      <c r="G409" s="13">
        <f t="shared" si="21"/>
        <v>273</v>
      </c>
      <c r="H409" s="13">
        <v>219</v>
      </c>
      <c r="I409" s="14">
        <f t="shared" si="22"/>
        <v>-218.1972602739726</v>
      </c>
      <c r="J409" s="15" t="s">
        <v>887</v>
      </c>
      <c r="K409" s="10">
        <v>90</v>
      </c>
      <c r="L409" s="16">
        <v>90</v>
      </c>
      <c r="M409" s="16">
        <f t="shared" si="20"/>
        <v>11.111111111111111</v>
      </c>
      <c r="N409" s="16">
        <f>8.33*M409</f>
        <v>92.555555555555557</v>
      </c>
      <c r="O409" s="16">
        <f>1.613*N409</f>
        <v>149.29211111111113</v>
      </c>
      <c r="T409" s="8"/>
    </row>
    <row r="410" spans="1:37" x14ac:dyDescent="0.2">
      <c r="A410">
        <v>-218</v>
      </c>
      <c r="B410" s="10" t="s">
        <v>94</v>
      </c>
      <c r="D410" s="15" t="s">
        <v>893</v>
      </c>
      <c r="E410" s="13">
        <v>29</v>
      </c>
      <c r="F410" s="13">
        <v>10</v>
      </c>
      <c r="G410" s="13">
        <f t="shared" si="21"/>
        <v>273</v>
      </c>
      <c r="H410" s="13">
        <v>219</v>
      </c>
      <c r="I410" s="14">
        <f t="shared" si="22"/>
        <v>-218.17260273972602</v>
      </c>
      <c r="J410" s="15" t="s">
        <v>894</v>
      </c>
      <c r="T410" s="8"/>
      <c r="AG410" s="1">
        <v>4</v>
      </c>
      <c r="AH410" s="9">
        <v>4</v>
      </c>
      <c r="AI410" s="8">
        <f>1/AH410</f>
        <v>0.25</v>
      </c>
      <c r="AJ410" s="8">
        <f>8.33*AI410</f>
        <v>2.0825</v>
      </c>
    </row>
    <row r="411" spans="1:37" x14ac:dyDescent="0.2">
      <c r="A411">
        <v>-218</v>
      </c>
      <c r="B411" s="10" t="s">
        <v>83</v>
      </c>
      <c r="D411" s="15" t="s">
        <v>895</v>
      </c>
      <c r="E411" s="13">
        <v>25</v>
      </c>
      <c r="F411" s="13">
        <v>1</v>
      </c>
      <c r="G411" s="13">
        <f t="shared" si="21"/>
        <v>0</v>
      </c>
      <c r="H411" s="13">
        <v>218</v>
      </c>
      <c r="I411" s="14">
        <f t="shared" si="22"/>
        <v>-217.93150684931507</v>
      </c>
      <c r="J411" s="15" t="s">
        <v>896</v>
      </c>
      <c r="K411" s="10" t="s">
        <v>41</v>
      </c>
      <c r="T411" s="8"/>
    </row>
    <row r="412" spans="1:37" x14ac:dyDescent="0.2">
      <c r="A412">
        <v>-212</v>
      </c>
      <c r="B412" s="10" t="s">
        <v>75</v>
      </c>
      <c r="D412" s="15" t="s">
        <v>897</v>
      </c>
      <c r="E412" s="13">
        <v>21</v>
      </c>
      <c r="F412" s="13">
        <v>12</v>
      </c>
      <c r="G412" s="13">
        <f t="shared" si="21"/>
        <v>334</v>
      </c>
      <c r="H412" s="13">
        <v>213</v>
      </c>
      <c r="I412" s="14">
        <f t="shared" si="22"/>
        <v>-212.02739726027397</v>
      </c>
      <c r="J412" s="15" t="s">
        <v>898</v>
      </c>
      <c r="K412" s="10" t="s">
        <v>41</v>
      </c>
      <c r="P412" t="s">
        <v>899</v>
      </c>
      <c r="T412" s="8"/>
      <c r="U412" s="1">
        <v>360</v>
      </c>
      <c r="V412" s="9">
        <v>360</v>
      </c>
      <c r="W412" s="8">
        <f>1000/V412</f>
        <v>2.7777777777777777</v>
      </c>
      <c r="X412" s="8">
        <f>8.33*W412</f>
        <v>23.138888888888889</v>
      </c>
      <c r="Y412" s="1">
        <v>42</v>
      </c>
      <c r="Z412" s="9">
        <v>42</v>
      </c>
      <c r="AA412" s="8">
        <f>1000/Z412</f>
        <v>23.80952380952381</v>
      </c>
      <c r="AB412" s="8">
        <f>8.33*AA412</f>
        <v>198.33333333333334</v>
      </c>
      <c r="AC412" t="s">
        <v>41</v>
      </c>
    </row>
    <row r="413" spans="1:37" x14ac:dyDescent="0.2">
      <c r="A413">
        <v>-211</v>
      </c>
      <c r="B413" s="10" t="s">
        <v>72</v>
      </c>
      <c r="D413" s="15" t="s">
        <v>900</v>
      </c>
      <c r="E413" s="13">
        <v>12</v>
      </c>
      <c r="F413" s="13">
        <v>9</v>
      </c>
      <c r="G413" s="13">
        <f t="shared" si="21"/>
        <v>243</v>
      </c>
      <c r="H413" s="13">
        <v>212</v>
      </c>
      <c r="I413" s="14">
        <f t="shared" si="22"/>
        <v>-211.30136986301369</v>
      </c>
      <c r="J413" s="15" t="s">
        <v>901</v>
      </c>
      <c r="K413" s="10">
        <v>126</v>
      </c>
      <c r="L413" s="16">
        <v>126</v>
      </c>
      <c r="M413" s="16">
        <f t="shared" si="20"/>
        <v>7.9365079365079367</v>
      </c>
      <c r="N413" s="16">
        <f>8.33*M413</f>
        <v>66.111111111111114</v>
      </c>
      <c r="O413" s="16">
        <f>1.613*N413</f>
        <v>106.63722222222222</v>
      </c>
      <c r="T413" s="8"/>
    </row>
    <row r="414" spans="1:37" x14ac:dyDescent="0.2">
      <c r="A414">
        <v>-210</v>
      </c>
      <c r="B414" s="10" t="s">
        <v>65</v>
      </c>
      <c r="D414" s="15" t="s">
        <v>902</v>
      </c>
      <c r="E414" s="13">
        <v>5</v>
      </c>
      <c r="F414" s="13">
        <v>6</v>
      </c>
      <c r="G414" s="13">
        <f t="shared" si="21"/>
        <v>151</v>
      </c>
      <c r="H414" s="13">
        <v>211</v>
      </c>
      <c r="I414" s="14">
        <f t="shared" si="22"/>
        <v>-210.57260273972602</v>
      </c>
      <c r="J414" s="15" t="s">
        <v>903</v>
      </c>
      <c r="T414" s="8"/>
      <c r="AG414" s="1">
        <v>4</v>
      </c>
      <c r="AH414" s="9">
        <v>4</v>
      </c>
      <c r="AI414" s="8">
        <f>1/AH414</f>
        <v>0.25</v>
      </c>
      <c r="AJ414" s="8">
        <f>8.33*AI414</f>
        <v>2.0825</v>
      </c>
    </row>
    <row r="415" spans="1:37" x14ac:dyDescent="0.2">
      <c r="A415">
        <v>-210</v>
      </c>
      <c r="B415" s="10" t="s">
        <v>285</v>
      </c>
      <c r="D415" s="15" t="s">
        <v>904</v>
      </c>
      <c r="E415" s="13">
        <v>3</v>
      </c>
      <c r="F415" s="13">
        <v>8</v>
      </c>
      <c r="G415" s="13">
        <f t="shared" si="21"/>
        <v>212</v>
      </c>
      <c r="H415" s="13">
        <v>211</v>
      </c>
      <c r="I415" s="14">
        <f t="shared" si="22"/>
        <v>-210.41095890410958</v>
      </c>
      <c r="J415" s="15" t="s">
        <v>905</v>
      </c>
      <c r="T415" s="8"/>
      <c r="Y415" t="s">
        <v>568</v>
      </c>
      <c r="Z415" s="17">
        <v>72</v>
      </c>
      <c r="AA415" s="16">
        <f>1000/Z415</f>
        <v>13.888888888888889</v>
      </c>
      <c r="AB415" s="16">
        <f>8.33*AA415</f>
        <v>115.69444444444444</v>
      </c>
      <c r="AC415" s="1">
        <v>13.5</v>
      </c>
      <c r="AD415" s="9">
        <v>13.5</v>
      </c>
      <c r="AE415" s="8">
        <f>1000/AD415</f>
        <v>74.074074074074076</v>
      </c>
      <c r="AF415" s="8">
        <f>8.33*AE415</f>
        <v>617.03703703703707</v>
      </c>
      <c r="AG415" s="1">
        <v>4</v>
      </c>
      <c r="AH415" s="9">
        <v>4</v>
      </c>
      <c r="AI415" s="8">
        <f>1/AH415</f>
        <v>0.25</v>
      </c>
      <c r="AJ415" s="8">
        <f>8.33*AI415</f>
        <v>2.0825</v>
      </c>
    </row>
    <row r="416" spans="1:37" x14ac:dyDescent="0.2">
      <c r="A416">
        <v>-209</v>
      </c>
      <c r="B416" s="10" t="s">
        <v>47</v>
      </c>
      <c r="D416" s="15" t="s">
        <v>906</v>
      </c>
      <c r="E416" s="13">
        <v>26</v>
      </c>
      <c r="F416" s="13">
        <v>4</v>
      </c>
      <c r="G416" s="13">
        <f t="shared" si="21"/>
        <v>90</v>
      </c>
      <c r="H416" s="13">
        <v>210</v>
      </c>
      <c r="I416" s="14">
        <f t="shared" si="22"/>
        <v>-209.68219178082191</v>
      </c>
      <c r="J416" s="15" t="s">
        <v>907</v>
      </c>
      <c r="T416" s="8"/>
      <c r="Y416" s="1">
        <v>72</v>
      </c>
      <c r="Z416" s="9">
        <v>72</v>
      </c>
      <c r="AA416" s="8">
        <f>1000/Z416</f>
        <v>13.888888888888889</v>
      </c>
      <c r="AB416" s="8">
        <f>8.33*AA416</f>
        <v>115.69444444444444</v>
      </c>
      <c r="AC416" s="1">
        <v>22.5</v>
      </c>
      <c r="AD416" s="9">
        <v>22.5</v>
      </c>
      <c r="AE416" s="8">
        <f>1000/AD416</f>
        <v>44.444444444444443</v>
      </c>
      <c r="AF416" s="8">
        <f>8.33*AE416</f>
        <v>370.22222222222223</v>
      </c>
      <c r="AG416" s="1">
        <v>3.5</v>
      </c>
      <c r="AH416" s="9">
        <v>3.5</v>
      </c>
      <c r="AI416" s="8">
        <f>1/AH416</f>
        <v>0.2857142857142857</v>
      </c>
      <c r="AJ416" s="8">
        <f>8.33*AI416</f>
        <v>2.38</v>
      </c>
    </row>
    <row r="417" spans="1:36" x14ac:dyDescent="0.2">
      <c r="A417">
        <v>-209</v>
      </c>
      <c r="B417" s="10" t="s">
        <v>65</v>
      </c>
      <c r="C417" s="11" t="s">
        <v>39</v>
      </c>
      <c r="D417" s="15" t="s">
        <v>908</v>
      </c>
      <c r="E417" s="13">
        <v>25</v>
      </c>
      <c r="F417" s="13">
        <v>5</v>
      </c>
      <c r="G417" s="13">
        <f t="shared" si="21"/>
        <v>120</v>
      </c>
      <c r="H417" s="13">
        <v>210</v>
      </c>
      <c r="I417" s="14">
        <f t="shared" si="22"/>
        <v>-209.60273972602741</v>
      </c>
      <c r="J417" s="15" t="s">
        <v>909</v>
      </c>
      <c r="K417" s="10">
        <v>180</v>
      </c>
      <c r="L417" s="16">
        <v>180</v>
      </c>
      <c r="M417" s="16">
        <f t="shared" si="20"/>
        <v>5.5555555555555554</v>
      </c>
      <c r="N417" s="16">
        <f>8.33*M417</f>
        <v>46.277777777777779</v>
      </c>
      <c r="O417" s="16">
        <f>1.613*N417</f>
        <v>74.646055555555563</v>
      </c>
      <c r="P417">
        <v>108</v>
      </c>
      <c r="Q417" s="17">
        <v>108</v>
      </c>
      <c r="R417" s="16">
        <f>1000/Q417</f>
        <v>9.2592592592592595</v>
      </c>
      <c r="S417" s="16">
        <f>8.33*R417</f>
        <v>77.129629629629633</v>
      </c>
      <c r="T417" s="16">
        <f>S417*1.33</f>
        <v>102.58240740740742</v>
      </c>
    </row>
    <row r="418" spans="1:36" x14ac:dyDescent="0.2">
      <c r="A418">
        <v>-209</v>
      </c>
      <c r="B418" s="10" t="s">
        <v>65</v>
      </c>
      <c r="C418" s="11" t="s">
        <v>42</v>
      </c>
      <c r="D418" s="15" t="s">
        <v>910</v>
      </c>
      <c r="E418" s="13">
        <v>4</v>
      </c>
      <c r="F418" s="13">
        <v>6</v>
      </c>
      <c r="G418" s="13">
        <f t="shared" si="21"/>
        <v>151</v>
      </c>
      <c r="H418" s="13">
        <v>210</v>
      </c>
      <c r="I418" s="14">
        <f t="shared" si="22"/>
        <v>-209.57534246575344</v>
      </c>
      <c r="J418" s="15" t="s">
        <v>911</v>
      </c>
      <c r="K418" s="10">
        <v>174</v>
      </c>
      <c r="L418" s="16">
        <v>174</v>
      </c>
      <c r="M418" s="16">
        <f t="shared" si="20"/>
        <v>5.7471264367816088</v>
      </c>
      <c r="N418" s="16">
        <f>8.33*M418</f>
        <v>47.8735632183908</v>
      </c>
      <c r="O418" s="16">
        <f>1.613*N418</f>
        <v>77.220057471264354</v>
      </c>
      <c r="T418" s="8"/>
    </row>
    <row r="419" spans="1:36" x14ac:dyDescent="0.2">
      <c r="A419">
        <v>-209</v>
      </c>
      <c r="B419" s="10" t="s">
        <v>65</v>
      </c>
      <c r="C419" s="11" t="s">
        <v>45</v>
      </c>
      <c r="D419" s="15" t="s">
        <v>912</v>
      </c>
      <c r="E419" s="13">
        <v>14</v>
      </c>
      <c r="F419" s="13">
        <v>6</v>
      </c>
      <c r="G419" s="13">
        <f t="shared" si="21"/>
        <v>151</v>
      </c>
      <c r="H419" s="13">
        <v>210</v>
      </c>
      <c r="I419" s="14">
        <f t="shared" si="22"/>
        <v>-209.54794520547946</v>
      </c>
      <c r="J419" s="15" t="s">
        <v>913</v>
      </c>
      <c r="K419" s="10">
        <v>168</v>
      </c>
      <c r="L419" s="16">
        <v>168</v>
      </c>
      <c r="M419" s="16">
        <f>1000/L419</f>
        <v>5.9523809523809526</v>
      </c>
      <c r="N419" s="16">
        <f>8.33*M419</f>
        <v>49.583333333333336</v>
      </c>
      <c r="O419" s="16">
        <f>1.613*N419</f>
        <v>79.977916666666673</v>
      </c>
      <c r="T419" s="8"/>
    </row>
    <row r="420" spans="1:36" x14ac:dyDescent="0.2">
      <c r="A420">
        <v>-209</v>
      </c>
      <c r="B420" s="10" t="s">
        <v>130</v>
      </c>
      <c r="D420" s="15" t="s">
        <v>914</v>
      </c>
      <c r="E420" s="13">
        <v>24</v>
      </c>
      <c r="F420" s="13">
        <v>6</v>
      </c>
      <c r="G420" s="13">
        <f t="shared" si="21"/>
        <v>151</v>
      </c>
      <c r="H420" s="13">
        <v>210</v>
      </c>
      <c r="I420" s="14">
        <f t="shared" si="22"/>
        <v>-209.52054794520549</v>
      </c>
      <c r="J420" s="15" t="s">
        <v>915</v>
      </c>
      <c r="T420" s="8"/>
      <c r="Y420" t="s">
        <v>916</v>
      </c>
      <c r="Z420" s="17">
        <v>72</v>
      </c>
      <c r="AA420" s="16">
        <f>1000/Z420</f>
        <v>13.888888888888889</v>
      </c>
      <c r="AB420" s="16">
        <f>8.33*AA420</f>
        <v>115.69444444444444</v>
      </c>
      <c r="AC420" s="1">
        <v>21</v>
      </c>
      <c r="AD420" s="9">
        <v>21</v>
      </c>
      <c r="AE420" s="8">
        <f>1000/AD420</f>
        <v>47.61904761904762</v>
      </c>
      <c r="AF420" s="8">
        <f>8.33*AE420</f>
        <v>396.66666666666669</v>
      </c>
      <c r="AG420" s="1">
        <v>4</v>
      </c>
      <c r="AH420" s="9">
        <v>4</v>
      </c>
      <c r="AI420" s="8">
        <f>1/AH420</f>
        <v>0.25</v>
      </c>
      <c r="AJ420" s="8">
        <f>8.33*AI420</f>
        <v>2.0825</v>
      </c>
    </row>
    <row r="421" spans="1:36" x14ac:dyDescent="0.2">
      <c r="A421">
        <v>-209</v>
      </c>
      <c r="B421" s="10" t="s">
        <v>72</v>
      </c>
      <c r="D421" s="15" t="s">
        <v>917</v>
      </c>
      <c r="E421" s="13">
        <v>22</v>
      </c>
      <c r="F421" s="13">
        <v>8</v>
      </c>
      <c r="G421" s="13">
        <f t="shared" si="21"/>
        <v>212</v>
      </c>
      <c r="H421" s="13">
        <v>210</v>
      </c>
      <c r="I421" s="14">
        <f t="shared" si="22"/>
        <v>-209.35890410958905</v>
      </c>
      <c r="J421" s="15" t="s">
        <v>918</v>
      </c>
      <c r="T421" s="8"/>
      <c r="U421" t="s">
        <v>919</v>
      </c>
      <c r="V421" s="20">
        <v>444</v>
      </c>
      <c r="W421" s="19">
        <f>1000/V421</f>
        <v>2.2522522522522523</v>
      </c>
      <c r="X421" s="19">
        <f>8.33*W421</f>
        <v>18.761261261261261</v>
      </c>
      <c r="Y421" s="1">
        <v>72</v>
      </c>
      <c r="Z421" s="9">
        <v>72</v>
      </c>
      <c r="AA421" s="8">
        <f>1000/Z421</f>
        <v>13.888888888888889</v>
      </c>
      <c r="AB421" s="8">
        <f>8.33*AA421</f>
        <v>115.69444444444444</v>
      </c>
      <c r="AC421" s="1">
        <v>24</v>
      </c>
      <c r="AD421" s="9">
        <v>24</v>
      </c>
      <c r="AE421" s="8">
        <f>1000/AD421</f>
        <v>41.666666666666664</v>
      </c>
      <c r="AF421" s="8">
        <f>8.33*AE421</f>
        <v>347.08333333333331</v>
      </c>
      <c r="AG421" s="1">
        <v>3.5</v>
      </c>
      <c r="AH421" s="9">
        <v>3.5</v>
      </c>
      <c r="AI421" s="8">
        <f>1/AH421</f>
        <v>0.2857142857142857</v>
      </c>
      <c r="AJ421" s="8">
        <f>8.33*AI421</f>
        <v>2.38</v>
      </c>
    </row>
    <row r="422" spans="1:36" x14ac:dyDescent="0.2">
      <c r="A422">
        <v>-208</v>
      </c>
      <c r="B422" s="10" t="s">
        <v>285</v>
      </c>
      <c r="D422" s="15" t="s">
        <v>920</v>
      </c>
      <c r="E422" s="13">
        <v>11</v>
      </c>
      <c r="F422" s="13">
        <v>8</v>
      </c>
      <c r="G422" s="13">
        <f t="shared" si="21"/>
        <v>212</v>
      </c>
      <c r="H422" s="13">
        <v>209</v>
      </c>
      <c r="I422" s="14">
        <f t="shared" si="22"/>
        <v>-208.38904109589041</v>
      </c>
      <c r="J422" s="15" t="s">
        <v>921</v>
      </c>
      <c r="P422" s="1">
        <v>156</v>
      </c>
      <c r="Q422" s="9">
        <v>156</v>
      </c>
      <c r="R422" s="8">
        <f>1000/Q422</f>
        <v>6.4102564102564106</v>
      </c>
      <c r="S422" s="8">
        <f>8.33*R422</f>
        <v>53.397435897435898</v>
      </c>
      <c r="T422" s="8">
        <f>S422*1.33</f>
        <v>71.018589743589743</v>
      </c>
      <c r="U422" s="1">
        <v>420</v>
      </c>
      <c r="V422" s="9">
        <v>420</v>
      </c>
      <c r="W422" s="8">
        <f>1000/V422</f>
        <v>2.3809523809523809</v>
      </c>
      <c r="X422" s="8">
        <f>8.33*W422</f>
        <v>19.833333333333332</v>
      </c>
      <c r="Y422" t="s">
        <v>172</v>
      </c>
      <c r="Z422" s="20">
        <v>63</v>
      </c>
      <c r="AA422" s="19">
        <f>1000/Z422</f>
        <v>15.873015873015873</v>
      </c>
      <c r="AB422" s="19">
        <f>8.33*AA422</f>
        <v>132.22222222222223</v>
      </c>
    </row>
    <row r="423" spans="1:36" x14ac:dyDescent="0.2">
      <c r="A423">
        <v>-207</v>
      </c>
      <c r="B423" s="10" t="s">
        <v>60</v>
      </c>
      <c r="D423" s="15" t="s">
        <v>922</v>
      </c>
      <c r="E423" s="13">
        <v>3</v>
      </c>
      <c r="F423" s="13">
        <v>4</v>
      </c>
      <c r="G423" s="13">
        <f t="shared" si="21"/>
        <v>90</v>
      </c>
      <c r="H423" s="13">
        <v>208</v>
      </c>
      <c r="I423" s="14">
        <f t="shared" si="22"/>
        <v>-207.74520547945207</v>
      </c>
      <c r="J423" s="15" t="s">
        <v>923</v>
      </c>
      <c r="K423" s="2">
        <v>48</v>
      </c>
      <c r="L423" s="8">
        <v>48</v>
      </c>
      <c r="M423" s="8">
        <f>1000/L423</f>
        <v>20.833333333333332</v>
      </c>
      <c r="N423" s="8">
        <f>8.33*M423</f>
        <v>173.54166666666666</v>
      </c>
      <c r="O423" s="8">
        <f>1.613*N423</f>
        <v>279.92270833333333</v>
      </c>
      <c r="P423" s="1">
        <v>126</v>
      </c>
      <c r="Q423" s="9">
        <v>126</v>
      </c>
      <c r="R423" s="8">
        <f>1000/Q423</f>
        <v>7.9365079365079367</v>
      </c>
      <c r="S423" s="8">
        <f>8.33*R423</f>
        <v>66.111111111111114</v>
      </c>
      <c r="T423" s="8">
        <f>S423*1.33</f>
        <v>87.927777777777791</v>
      </c>
      <c r="U423" s="1">
        <v>408</v>
      </c>
      <c r="V423" s="9">
        <v>408</v>
      </c>
      <c r="W423" s="8">
        <f>1000/V423</f>
        <v>2.4509803921568629</v>
      </c>
      <c r="X423" s="8">
        <f>8.33*W423</f>
        <v>20.416666666666668</v>
      </c>
      <c r="AC423" t="s">
        <v>238</v>
      </c>
      <c r="AD423" s="20">
        <v>45</v>
      </c>
      <c r="AE423" s="19">
        <f>1000/AD423</f>
        <v>22.222222222222221</v>
      </c>
      <c r="AF423" s="19">
        <f>8.33*AE423</f>
        <v>185.11111111111111</v>
      </c>
    </row>
    <row r="424" spans="1:36" x14ac:dyDescent="0.2">
      <c r="A424">
        <v>-207</v>
      </c>
      <c r="B424" s="10" t="s">
        <v>47</v>
      </c>
      <c r="D424" s="15" t="s">
        <v>924</v>
      </c>
      <c r="E424" s="13">
        <v>2</v>
      </c>
      <c r="F424" s="13">
        <v>5</v>
      </c>
      <c r="G424" s="13">
        <f t="shared" si="21"/>
        <v>120</v>
      </c>
      <c r="H424" s="13">
        <v>208</v>
      </c>
      <c r="I424" s="14">
        <f t="shared" si="22"/>
        <v>-207.66575342465754</v>
      </c>
      <c r="J424" s="15" t="s">
        <v>925</v>
      </c>
      <c r="K424" s="2"/>
      <c r="L424" s="8"/>
      <c r="P424" s="1">
        <v>108</v>
      </c>
      <c r="Q424" s="9">
        <v>108</v>
      </c>
      <c r="R424" s="8">
        <f>1000/Q424</f>
        <v>9.2592592592592595</v>
      </c>
      <c r="S424" s="8">
        <f>8.33*R424</f>
        <v>77.129629629629633</v>
      </c>
      <c r="T424" s="8">
        <f>S424*1.33</f>
        <v>102.58240740740742</v>
      </c>
      <c r="U424" s="1" t="s">
        <v>926</v>
      </c>
      <c r="V424" s="21">
        <v>400</v>
      </c>
      <c r="W424" s="22">
        <f>1000/V424</f>
        <v>2.5</v>
      </c>
      <c r="X424" s="22">
        <f>8.33*W424</f>
        <v>20.824999999999999</v>
      </c>
    </row>
    <row r="425" spans="1:36" x14ac:dyDescent="0.2">
      <c r="A425">
        <v>-207</v>
      </c>
      <c r="B425" s="10" t="s">
        <v>47</v>
      </c>
      <c r="C425" s="11" t="s">
        <v>39</v>
      </c>
      <c r="D425" s="15" t="s">
        <v>924</v>
      </c>
      <c r="E425" s="13">
        <v>2</v>
      </c>
      <c r="F425" s="13">
        <v>5</v>
      </c>
      <c r="G425" s="13">
        <f t="shared" si="21"/>
        <v>120</v>
      </c>
      <c r="H425" s="13">
        <v>208</v>
      </c>
      <c r="I425" s="14">
        <f t="shared" si="22"/>
        <v>-207.66575342465754</v>
      </c>
      <c r="J425" s="15" t="s">
        <v>927</v>
      </c>
      <c r="K425" s="10">
        <v>90</v>
      </c>
      <c r="L425" s="16">
        <v>90</v>
      </c>
      <c r="M425" s="16">
        <f>1000/L425</f>
        <v>11.111111111111111</v>
      </c>
      <c r="N425" s="16">
        <f>8.33*M425</f>
        <v>92.555555555555557</v>
      </c>
      <c r="O425" s="16">
        <f>1.613*N425</f>
        <v>149.29211111111113</v>
      </c>
      <c r="T425" s="8"/>
      <c r="V425" s="20"/>
    </row>
    <row r="426" spans="1:36" x14ac:dyDescent="0.2">
      <c r="A426">
        <v>-207</v>
      </c>
      <c r="B426" s="10" t="s">
        <v>47</v>
      </c>
      <c r="C426" s="11" t="s">
        <v>42</v>
      </c>
      <c r="D426" s="15" t="s">
        <v>928</v>
      </c>
      <c r="E426" s="13">
        <v>12</v>
      </c>
      <c r="F426" s="13">
        <v>5</v>
      </c>
      <c r="G426" s="13">
        <f t="shared" si="21"/>
        <v>120</v>
      </c>
      <c r="H426" s="13">
        <v>208</v>
      </c>
      <c r="I426" s="14">
        <f t="shared" si="22"/>
        <v>-207.63835616438357</v>
      </c>
      <c r="J426" s="15" t="s">
        <v>929</v>
      </c>
      <c r="K426" s="10">
        <v>168</v>
      </c>
      <c r="L426" s="16">
        <v>168</v>
      </c>
      <c r="M426" s="16">
        <f>1000/L426</f>
        <v>5.9523809523809526</v>
      </c>
      <c r="N426" s="16">
        <f>8.33*M426</f>
        <v>49.583333333333336</v>
      </c>
      <c r="O426" s="16">
        <f>1.613*N426</f>
        <v>79.977916666666673</v>
      </c>
      <c r="T426" s="8"/>
    </row>
    <row r="427" spans="1:36" x14ac:dyDescent="0.2">
      <c r="A427">
        <v>-207</v>
      </c>
      <c r="B427" s="10" t="s">
        <v>47</v>
      </c>
      <c r="C427" s="11" t="s">
        <v>45</v>
      </c>
      <c r="D427" s="15" t="s">
        <v>930</v>
      </c>
      <c r="E427" s="13">
        <v>22</v>
      </c>
      <c r="F427" s="13">
        <v>5</v>
      </c>
      <c r="G427" s="13">
        <f t="shared" si="21"/>
        <v>120</v>
      </c>
      <c r="H427" s="13">
        <v>208</v>
      </c>
      <c r="I427" s="14">
        <f t="shared" si="22"/>
        <v>-207.61095890410959</v>
      </c>
      <c r="J427" s="15" t="s">
        <v>925</v>
      </c>
      <c r="K427" s="10">
        <v>144</v>
      </c>
      <c r="L427" s="16">
        <v>144</v>
      </c>
      <c r="M427" s="16">
        <f>1000/L427</f>
        <v>6.9444444444444446</v>
      </c>
      <c r="N427" s="16">
        <f>8.33*M427</f>
        <v>57.847222222222221</v>
      </c>
      <c r="O427" s="16">
        <f>1.613*N427</f>
        <v>93.307569444444439</v>
      </c>
      <c r="T427" s="8"/>
    </row>
    <row r="428" spans="1:36" x14ac:dyDescent="0.2">
      <c r="A428">
        <v>-207</v>
      </c>
      <c r="B428" s="10" t="s">
        <v>72</v>
      </c>
      <c r="D428" s="15" t="s">
        <v>931</v>
      </c>
      <c r="E428" s="13">
        <v>30</v>
      </c>
      <c r="F428" s="13">
        <v>8</v>
      </c>
      <c r="G428" s="13">
        <f t="shared" si="21"/>
        <v>212</v>
      </c>
      <c r="H428" s="13">
        <v>208</v>
      </c>
      <c r="I428" s="14">
        <f t="shared" si="22"/>
        <v>-207.33698630136988</v>
      </c>
      <c r="J428" s="15" t="s">
        <v>932</v>
      </c>
      <c r="P428" s="1">
        <v>156</v>
      </c>
      <c r="Q428" s="9">
        <v>156</v>
      </c>
      <c r="R428" s="8">
        <f>1000/Q428</f>
        <v>6.4102564102564106</v>
      </c>
      <c r="S428" s="8">
        <f>8.33*R428</f>
        <v>53.397435897435898</v>
      </c>
      <c r="T428" s="8">
        <f>S428*1.33</f>
        <v>71.018589743589743</v>
      </c>
      <c r="U428" s="1">
        <v>396</v>
      </c>
      <c r="V428" s="9">
        <v>396</v>
      </c>
      <c r="W428" s="8">
        <f>1000/V428</f>
        <v>2.5252525252525251</v>
      </c>
      <c r="X428" s="8">
        <f>8.33*W428</f>
        <v>21.035353535353533</v>
      </c>
    </row>
    <row r="429" spans="1:36" x14ac:dyDescent="0.2">
      <c r="A429">
        <v>-207</v>
      </c>
      <c r="B429" s="10" t="s">
        <v>72</v>
      </c>
      <c r="C429" s="11" t="s">
        <v>39</v>
      </c>
      <c r="D429" s="15" t="s">
        <v>931</v>
      </c>
      <c r="E429" s="13">
        <v>30</v>
      </c>
      <c r="F429" s="13">
        <v>8</v>
      </c>
      <c r="G429" s="13">
        <f t="shared" si="21"/>
        <v>212</v>
      </c>
      <c r="H429" s="13">
        <v>208</v>
      </c>
      <c r="I429" s="14">
        <f t="shared" si="22"/>
        <v>-207.33698630136988</v>
      </c>
      <c r="J429" s="15" t="s">
        <v>933</v>
      </c>
      <c r="T429" s="8"/>
      <c r="Y429" t="s">
        <v>41</v>
      </c>
    </row>
    <row r="430" spans="1:36" x14ac:dyDescent="0.2">
      <c r="A430">
        <v>-207</v>
      </c>
      <c r="B430" s="10" t="s">
        <v>72</v>
      </c>
      <c r="C430" s="11" t="s">
        <v>42</v>
      </c>
      <c r="D430" s="15" t="s">
        <v>934</v>
      </c>
      <c r="E430" s="13">
        <v>9</v>
      </c>
      <c r="F430" s="13">
        <v>9</v>
      </c>
      <c r="G430" s="13">
        <f t="shared" si="21"/>
        <v>243</v>
      </c>
      <c r="H430" s="13">
        <v>208</v>
      </c>
      <c r="I430" s="14">
        <f t="shared" si="22"/>
        <v>-207.3095890410959</v>
      </c>
      <c r="J430" s="15" t="s">
        <v>935</v>
      </c>
      <c r="T430" s="8"/>
    </row>
    <row r="431" spans="1:36" x14ac:dyDescent="0.2">
      <c r="A431">
        <v>-207</v>
      </c>
      <c r="B431" s="10" t="s">
        <v>72</v>
      </c>
      <c r="C431" s="11" t="s">
        <v>45</v>
      </c>
      <c r="D431" s="15" t="s">
        <v>936</v>
      </c>
      <c r="E431" s="13">
        <v>19</v>
      </c>
      <c r="F431" s="13">
        <v>9</v>
      </c>
      <c r="G431" s="13">
        <f t="shared" si="21"/>
        <v>243</v>
      </c>
      <c r="H431" s="13">
        <v>208</v>
      </c>
      <c r="I431" s="14">
        <f t="shared" si="22"/>
        <v>-207.2821917808219</v>
      </c>
      <c r="J431" s="15" t="s">
        <v>932</v>
      </c>
      <c r="K431" s="10">
        <v>174</v>
      </c>
      <c r="L431" s="16">
        <v>174</v>
      </c>
      <c r="M431" s="16">
        <f>1000/L431</f>
        <v>5.7471264367816088</v>
      </c>
      <c r="N431" s="16">
        <f>8.33*M431</f>
        <v>47.8735632183908</v>
      </c>
      <c r="O431" s="16">
        <f>1.613*N431</f>
        <v>77.220057471264354</v>
      </c>
      <c r="T431" s="8"/>
    </row>
    <row r="432" spans="1:36" x14ac:dyDescent="0.2">
      <c r="A432">
        <v>-204</v>
      </c>
      <c r="B432" s="10" t="s">
        <v>60</v>
      </c>
      <c r="D432" s="15" t="s">
        <v>937</v>
      </c>
      <c r="E432" s="13">
        <v>31</v>
      </c>
      <c r="F432" s="13">
        <v>3</v>
      </c>
      <c r="G432" s="13">
        <f t="shared" si="21"/>
        <v>59</v>
      </c>
      <c r="H432" s="13">
        <v>205</v>
      </c>
      <c r="I432" s="14">
        <f t="shared" si="22"/>
        <v>-204.75342465753425</v>
      </c>
      <c r="J432" s="15" t="s">
        <v>938</v>
      </c>
      <c r="K432" s="2">
        <v>216</v>
      </c>
      <c r="L432" s="8">
        <v>216</v>
      </c>
      <c r="M432" s="8">
        <f>1000/L432</f>
        <v>4.6296296296296298</v>
      </c>
      <c r="N432" s="8">
        <f>8.33*M432</f>
        <v>38.564814814814817</v>
      </c>
      <c r="O432" s="8">
        <f>1.613*N432</f>
        <v>62.205046296296295</v>
      </c>
      <c r="P432" s="1">
        <v>360</v>
      </c>
      <c r="Q432" s="9">
        <v>360</v>
      </c>
      <c r="R432" s="8">
        <f>1000/Q432</f>
        <v>2.7777777777777777</v>
      </c>
      <c r="S432" s="8">
        <f>8.33*R432</f>
        <v>23.138888888888889</v>
      </c>
      <c r="T432" s="8">
        <f>S432*1.33</f>
        <v>30.774722222222223</v>
      </c>
      <c r="U432" s="1" t="s">
        <v>939</v>
      </c>
      <c r="V432" s="21">
        <v>540</v>
      </c>
      <c r="W432" s="22">
        <f>1000/V432</f>
        <v>1.8518518518518519</v>
      </c>
      <c r="X432" s="22">
        <f>8.33*W432</f>
        <v>15.425925925925926</v>
      </c>
      <c r="Y432" s="1" t="s">
        <v>258</v>
      </c>
      <c r="Z432" s="21">
        <v>42</v>
      </c>
      <c r="AA432" s="22">
        <f>1000/Z432</f>
        <v>23.80952380952381</v>
      </c>
      <c r="AB432" s="22">
        <f>8.33*AA432</f>
        <v>198.33333333333334</v>
      </c>
      <c r="AC432" t="s">
        <v>41</v>
      </c>
    </row>
    <row r="433" spans="1:36" x14ac:dyDescent="0.2">
      <c r="A433">
        <v>-203</v>
      </c>
      <c r="B433" s="10" t="s">
        <v>94</v>
      </c>
      <c r="D433" s="15" t="s">
        <v>940</v>
      </c>
      <c r="E433" s="13">
        <v>12</v>
      </c>
      <c r="F433" s="13">
        <v>11</v>
      </c>
      <c r="G433" s="13">
        <f t="shared" si="21"/>
        <v>304</v>
      </c>
      <c r="H433" s="13">
        <v>204</v>
      </c>
      <c r="I433" s="14">
        <f t="shared" si="22"/>
        <v>-203.13424657534247</v>
      </c>
      <c r="J433" s="15" t="s">
        <v>941</v>
      </c>
      <c r="K433" s="2">
        <v>156</v>
      </c>
      <c r="L433" s="8">
        <v>156</v>
      </c>
      <c r="M433" s="8">
        <f>1000/L433</f>
        <v>6.4102564102564106</v>
      </c>
      <c r="N433" s="8">
        <f>8.33*M433</f>
        <v>53.397435897435898</v>
      </c>
      <c r="O433" s="8">
        <f>1.613*N433</f>
        <v>86.130064102564106</v>
      </c>
      <c r="P433" s="1"/>
      <c r="Q433" s="9"/>
      <c r="T433" s="8"/>
      <c r="U433" s="1">
        <v>540</v>
      </c>
      <c r="V433" s="9">
        <v>540</v>
      </c>
      <c r="W433" s="8">
        <f>1000/V433</f>
        <v>1.8518518518518519</v>
      </c>
      <c r="X433" s="8">
        <f>8.33*W433</f>
        <v>15.425925925925926</v>
      </c>
      <c r="Y433" s="1">
        <v>84</v>
      </c>
      <c r="Z433" s="9">
        <v>84</v>
      </c>
      <c r="AA433" s="8">
        <f>1000/Z433</f>
        <v>11.904761904761905</v>
      </c>
      <c r="AB433" s="8">
        <f>8.33*AA433</f>
        <v>99.166666666666671</v>
      </c>
      <c r="AC433" s="1">
        <v>27</v>
      </c>
      <c r="AD433" s="9">
        <v>27</v>
      </c>
      <c r="AE433" s="8">
        <f>1000/AD433</f>
        <v>37.037037037037038</v>
      </c>
      <c r="AF433" s="8">
        <f>8.33*AE433</f>
        <v>308.51851851851853</v>
      </c>
      <c r="AG433" s="1">
        <v>3.5</v>
      </c>
      <c r="AH433" s="9">
        <v>3.5</v>
      </c>
      <c r="AI433" s="8">
        <f>1/AH433</f>
        <v>0.2857142857142857</v>
      </c>
      <c r="AJ433" s="8">
        <f>8.33*AI433</f>
        <v>2.38</v>
      </c>
    </row>
    <row r="434" spans="1:36" x14ac:dyDescent="0.2">
      <c r="A434">
        <v>-203</v>
      </c>
      <c r="B434" s="10" t="s">
        <v>94</v>
      </c>
      <c r="C434" s="11" t="s">
        <v>39</v>
      </c>
      <c r="D434" s="15" t="s">
        <v>940</v>
      </c>
      <c r="E434" s="13">
        <v>12</v>
      </c>
      <c r="F434" s="13">
        <v>11</v>
      </c>
      <c r="G434" s="13">
        <f t="shared" si="21"/>
        <v>304</v>
      </c>
      <c r="H434" s="13">
        <v>204</v>
      </c>
      <c r="I434" s="14">
        <f t="shared" si="22"/>
        <v>-203.13424657534247</v>
      </c>
      <c r="J434" s="15" t="s">
        <v>942</v>
      </c>
      <c r="P434">
        <v>240</v>
      </c>
      <c r="Q434" s="17">
        <v>240</v>
      </c>
      <c r="R434" s="16">
        <f>1000/Q434</f>
        <v>4.166666666666667</v>
      </c>
      <c r="S434" s="16">
        <f>8.33*R434</f>
        <v>34.708333333333336</v>
      </c>
      <c r="T434" s="16">
        <f>S434*1.33</f>
        <v>46.162083333333342</v>
      </c>
    </row>
    <row r="435" spans="1:36" x14ac:dyDescent="0.2">
      <c r="A435">
        <v>-203</v>
      </c>
      <c r="B435" s="10" t="s">
        <v>94</v>
      </c>
      <c r="C435" s="11" t="s">
        <v>42</v>
      </c>
      <c r="D435" s="15" t="s">
        <v>943</v>
      </c>
      <c r="E435" s="13">
        <v>22</v>
      </c>
      <c r="F435" s="13">
        <v>11</v>
      </c>
      <c r="G435" s="13">
        <f t="shared" si="21"/>
        <v>304</v>
      </c>
      <c r="H435" s="13">
        <v>204</v>
      </c>
      <c r="I435" s="14">
        <f t="shared" si="22"/>
        <v>-203.1068493150685</v>
      </c>
      <c r="J435" s="15" t="s">
        <v>944</v>
      </c>
      <c r="P435">
        <v>210</v>
      </c>
      <c r="Q435" s="17">
        <v>210</v>
      </c>
      <c r="R435" s="16">
        <f>1000/Q435</f>
        <v>4.7619047619047619</v>
      </c>
      <c r="S435" s="16">
        <f>8.33*R435</f>
        <v>39.666666666666664</v>
      </c>
      <c r="T435" s="16">
        <f>S435*1.33</f>
        <v>52.756666666666668</v>
      </c>
    </row>
    <row r="436" spans="1:36" x14ac:dyDescent="0.2">
      <c r="A436">
        <v>-203</v>
      </c>
      <c r="B436" s="10" t="s">
        <v>94</v>
      </c>
      <c r="C436" s="11" t="s">
        <v>45</v>
      </c>
      <c r="D436" s="15" t="s">
        <v>945</v>
      </c>
      <c r="E436" s="13">
        <v>2</v>
      </c>
      <c r="F436" s="13">
        <v>12</v>
      </c>
      <c r="G436" s="13">
        <f t="shared" si="21"/>
        <v>334</v>
      </c>
      <c r="H436" s="13">
        <v>204</v>
      </c>
      <c r="I436" s="14">
        <f t="shared" si="22"/>
        <v>-203.07945205479453</v>
      </c>
      <c r="J436" s="15" t="s">
        <v>941</v>
      </c>
      <c r="P436">
        <v>198</v>
      </c>
      <c r="Q436" s="17">
        <v>198</v>
      </c>
      <c r="R436" s="16">
        <f>1000/Q436</f>
        <v>5.0505050505050502</v>
      </c>
      <c r="S436" s="16">
        <f>8.33*R436</f>
        <v>42.070707070707066</v>
      </c>
      <c r="T436" s="16">
        <f>S436*1.33</f>
        <v>55.954040404040398</v>
      </c>
    </row>
    <row r="437" spans="1:36" x14ac:dyDescent="0.2">
      <c r="A437">
        <v>-202</v>
      </c>
      <c r="B437" s="10" t="s">
        <v>60</v>
      </c>
      <c r="D437" s="15" t="s">
        <v>946</v>
      </c>
      <c r="E437" s="13">
        <v>9</v>
      </c>
      <c r="F437" s="13">
        <v>4</v>
      </c>
      <c r="G437" s="13">
        <f t="shared" si="21"/>
        <v>90</v>
      </c>
      <c r="H437" s="13">
        <v>203</v>
      </c>
      <c r="I437" s="14">
        <f t="shared" si="22"/>
        <v>-202.72876712328767</v>
      </c>
      <c r="J437" s="15" t="s">
        <v>947</v>
      </c>
      <c r="T437" s="8"/>
      <c r="AC437">
        <v>27</v>
      </c>
      <c r="AD437" s="17">
        <v>27</v>
      </c>
      <c r="AE437" s="16">
        <f>1000/AD437</f>
        <v>37.037037037037038</v>
      </c>
      <c r="AF437" s="16">
        <f>8.33*AE437</f>
        <v>308.51851851851853</v>
      </c>
      <c r="AG437" s="1">
        <v>4</v>
      </c>
      <c r="AH437" s="9">
        <v>4</v>
      </c>
      <c r="AI437" s="8">
        <f>1/AH437</f>
        <v>0.25</v>
      </c>
      <c r="AJ437" s="8">
        <f>8.33*AI437</f>
        <v>2.0825</v>
      </c>
    </row>
    <row r="438" spans="1:36" x14ac:dyDescent="0.2">
      <c r="A438">
        <v>-202</v>
      </c>
      <c r="B438" s="10" t="s">
        <v>285</v>
      </c>
      <c r="D438" s="15" t="s">
        <v>948</v>
      </c>
      <c r="E438" s="13">
        <v>5</v>
      </c>
      <c r="F438" s="13">
        <v>8</v>
      </c>
      <c r="G438" s="13">
        <f t="shared" si="21"/>
        <v>212</v>
      </c>
      <c r="H438" s="13">
        <v>203</v>
      </c>
      <c r="I438" s="14">
        <f t="shared" si="22"/>
        <v>-202.40547945205481</v>
      </c>
      <c r="J438" s="15" t="s">
        <v>949</v>
      </c>
      <c r="T438" s="8"/>
      <c r="Y438" s="1">
        <v>90</v>
      </c>
      <c r="Z438" s="9">
        <v>90</v>
      </c>
      <c r="AA438" s="8">
        <f>1000/Z438</f>
        <v>11.111111111111111</v>
      </c>
      <c r="AB438" s="8">
        <f>8.33*AA438</f>
        <v>92.555555555555557</v>
      </c>
      <c r="AC438" s="1">
        <v>24</v>
      </c>
      <c r="AD438" s="9">
        <v>24</v>
      </c>
      <c r="AE438" s="8">
        <f>1000/AD438</f>
        <v>41.666666666666664</v>
      </c>
      <c r="AF438" s="8">
        <f>8.33*AE438</f>
        <v>347.08333333333331</v>
      </c>
      <c r="AG438" s="1">
        <v>4</v>
      </c>
      <c r="AH438" s="9">
        <v>4</v>
      </c>
      <c r="AI438" s="8">
        <f>1/AH438</f>
        <v>0.25</v>
      </c>
      <c r="AJ438" s="8">
        <f>8.33*AI438</f>
        <v>2.0825</v>
      </c>
    </row>
    <row r="439" spans="1:36" x14ac:dyDescent="0.2">
      <c r="A439">
        <v>-202</v>
      </c>
      <c r="B439" s="10" t="s">
        <v>91</v>
      </c>
      <c r="D439" s="15" t="s">
        <v>950</v>
      </c>
      <c r="E439" s="13">
        <v>3</v>
      </c>
      <c r="F439" s="13">
        <v>10</v>
      </c>
      <c r="G439" s="13">
        <f t="shared" si="21"/>
        <v>273</v>
      </c>
      <c r="H439" s="13">
        <v>203</v>
      </c>
      <c r="I439" s="14">
        <f t="shared" si="22"/>
        <v>-202.24383561643836</v>
      </c>
      <c r="J439" s="15" t="s">
        <v>951</v>
      </c>
      <c r="P439" t="s">
        <v>793</v>
      </c>
      <c r="Q439" s="20">
        <v>243</v>
      </c>
      <c r="R439" s="19">
        <f>1000/Q439</f>
        <v>4.1152263374485596</v>
      </c>
      <c r="S439" s="19">
        <f>8.33*R439</f>
        <v>34.279835390946502</v>
      </c>
      <c r="T439" s="19">
        <f>S439*1.33</f>
        <v>45.592181069958848</v>
      </c>
      <c r="Y439" s="1"/>
      <c r="Z439" s="9"/>
      <c r="AC439" s="1"/>
      <c r="AD439" s="9"/>
      <c r="AG439" s="1"/>
      <c r="AH439" s="9"/>
    </row>
    <row r="440" spans="1:36" x14ac:dyDescent="0.2">
      <c r="A440">
        <v>-202</v>
      </c>
      <c r="B440" s="10" t="s">
        <v>91</v>
      </c>
      <c r="C440" s="11" t="s">
        <v>39</v>
      </c>
      <c r="D440" s="15" t="s">
        <v>950</v>
      </c>
      <c r="E440" s="13">
        <v>3</v>
      </c>
      <c r="F440" s="13">
        <v>10</v>
      </c>
      <c r="G440" s="13">
        <f t="shared" si="21"/>
        <v>273</v>
      </c>
      <c r="H440" s="13">
        <v>203</v>
      </c>
      <c r="I440" s="14">
        <f t="shared" si="22"/>
        <v>-202.24383561643836</v>
      </c>
      <c r="J440" s="15" t="s">
        <v>952</v>
      </c>
      <c r="K440" s="10">
        <v>225</v>
      </c>
      <c r="L440" s="16">
        <v>225</v>
      </c>
      <c r="M440" s="16">
        <f>1000/L440</f>
        <v>4.4444444444444446</v>
      </c>
      <c r="N440" s="16">
        <f>8.33*M440</f>
        <v>37.022222222222226</v>
      </c>
      <c r="O440" s="16">
        <f>1.613*N440</f>
        <v>59.716844444444448</v>
      </c>
      <c r="Q440" s="20"/>
      <c r="T440" s="8"/>
    </row>
    <row r="441" spans="1:36" x14ac:dyDescent="0.2">
      <c r="A441">
        <v>-202</v>
      </c>
      <c r="B441" s="10" t="s">
        <v>91</v>
      </c>
      <c r="C441" s="11" t="s">
        <v>42</v>
      </c>
      <c r="D441" s="15" t="s">
        <v>953</v>
      </c>
      <c r="E441" s="13">
        <v>13</v>
      </c>
      <c r="F441" s="13">
        <v>10</v>
      </c>
      <c r="G441" s="13">
        <f t="shared" si="21"/>
        <v>273</v>
      </c>
      <c r="H441" s="13">
        <v>203</v>
      </c>
      <c r="I441" s="14">
        <f t="shared" si="22"/>
        <v>-202.21643835616439</v>
      </c>
      <c r="J441" s="15" t="s">
        <v>954</v>
      </c>
      <c r="L441" s="19">
        <v>225</v>
      </c>
      <c r="M441" s="19">
        <v>4.4400000000000004</v>
      </c>
      <c r="N441" s="19">
        <v>37.020000000000003</v>
      </c>
      <c r="O441" s="19">
        <v>59.72</v>
      </c>
      <c r="T441" s="8"/>
    </row>
    <row r="442" spans="1:36" x14ac:dyDescent="0.2">
      <c r="A442">
        <v>-202</v>
      </c>
      <c r="B442" s="10" t="s">
        <v>91</v>
      </c>
      <c r="C442" s="11" t="s">
        <v>45</v>
      </c>
      <c r="D442" s="15" t="s">
        <v>955</v>
      </c>
      <c r="E442" s="13">
        <v>23</v>
      </c>
      <c r="F442" s="13">
        <v>10</v>
      </c>
      <c r="G442" s="13">
        <f t="shared" si="21"/>
        <v>273</v>
      </c>
      <c r="H442" s="13">
        <v>203</v>
      </c>
      <c r="I442" s="14">
        <f t="shared" si="22"/>
        <v>-202.18904109589042</v>
      </c>
      <c r="J442" s="15" t="s">
        <v>951</v>
      </c>
      <c r="K442" s="10">
        <v>222</v>
      </c>
      <c r="L442" s="16">
        <v>222</v>
      </c>
      <c r="M442" s="16">
        <f>1000/L442</f>
        <v>4.5045045045045047</v>
      </c>
      <c r="N442" s="16">
        <f>8.33*M442</f>
        <v>37.522522522522522</v>
      </c>
      <c r="O442" s="16">
        <f>1.613*N442</f>
        <v>60.523828828828826</v>
      </c>
      <c r="T442" s="8"/>
    </row>
    <row r="443" spans="1:36" x14ac:dyDescent="0.2">
      <c r="A443">
        <v>-202</v>
      </c>
      <c r="B443" s="10" t="s">
        <v>83</v>
      </c>
      <c r="D443" s="15" t="s">
        <v>956</v>
      </c>
      <c r="E443" s="13">
        <v>29</v>
      </c>
      <c r="F443" s="13">
        <v>1</v>
      </c>
      <c r="G443" s="13">
        <f t="shared" si="21"/>
        <v>0</v>
      </c>
      <c r="H443" s="13">
        <v>202</v>
      </c>
      <c r="I443" s="14">
        <f t="shared" si="22"/>
        <v>-201.92054794520547</v>
      </c>
      <c r="J443" s="15" t="s">
        <v>957</v>
      </c>
      <c r="T443" s="8"/>
      <c r="Y443" s="1">
        <v>96</v>
      </c>
      <c r="Z443" s="9">
        <v>96</v>
      </c>
      <c r="AA443" s="8">
        <f>1000/Z443</f>
        <v>10.416666666666666</v>
      </c>
      <c r="AB443" s="8">
        <f>8.33*AA443</f>
        <v>86.770833333333329</v>
      </c>
      <c r="AC443" s="1">
        <v>21</v>
      </c>
      <c r="AD443" s="9">
        <v>21</v>
      </c>
      <c r="AE443" s="8">
        <f>1000/AD443</f>
        <v>47.61904761904762</v>
      </c>
      <c r="AF443" s="8">
        <f>8.33*AE443</f>
        <v>396.66666666666669</v>
      </c>
      <c r="AG443" s="1" t="s">
        <v>958</v>
      </c>
      <c r="AH443" s="21">
        <v>4</v>
      </c>
      <c r="AI443" s="22">
        <f>1/AH443</f>
        <v>0.25</v>
      </c>
      <c r="AJ443" s="22">
        <f>8.33*AI443</f>
        <v>2.0825</v>
      </c>
    </row>
    <row r="444" spans="1:36" x14ac:dyDescent="0.2">
      <c r="A444">
        <v>-197</v>
      </c>
      <c r="B444" s="10" t="s">
        <v>91</v>
      </c>
      <c r="D444" s="15" t="s">
        <v>959</v>
      </c>
      <c r="E444" s="13">
        <v>8</v>
      </c>
      <c r="F444" s="13">
        <v>10</v>
      </c>
      <c r="G444" s="13">
        <f t="shared" si="21"/>
        <v>273</v>
      </c>
      <c r="H444" s="13">
        <v>198</v>
      </c>
      <c r="I444" s="14">
        <f t="shared" si="22"/>
        <v>-197.23013698630137</v>
      </c>
      <c r="J444" s="15" t="s">
        <v>960</v>
      </c>
      <c r="K444" s="2">
        <v>144</v>
      </c>
      <c r="L444" s="8">
        <v>144</v>
      </c>
      <c r="M444" s="8">
        <f>1000/L444</f>
        <v>6.9444444444444446</v>
      </c>
      <c r="N444" s="8">
        <f>8.33*M444</f>
        <v>57.847222222222221</v>
      </c>
      <c r="O444" s="8">
        <f>1.613*N444</f>
        <v>93.307569444444439</v>
      </c>
      <c r="P444" s="1">
        <v>270</v>
      </c>
      <c r="Q444" s="9">
        <v>270</v>
      </c>
      <c r="R444" s="8">
        <f>1000/Q444</f>
        <v>3.7037037037037037</v>
      </c>
      <c r="S444" s="8">
        <f>8.33*R444</f>
        <v>30.851851851851851</v>
      </c>
      <c r="T444" s="8">
        <f>S444*1.33</f>
        <v>41.032962962962962</v>
      </c>
      <c r="U444" s="1">
        <v>270</v>
      </c>
      <c r="V444" s="9">
        <v>270</v>
      </c>
      <c r="W444" s="8">
        <f>1000/V444</f>
        <v>3.7037037037037037</v>
      </c>
      <c r="X444" s="8">
        <f>8.33*W444</f>
        <v>30.851851851851851</v>
      </c>
      <c r="Y444" s="1">
        <v>102</v>
      </c>
      <c r="Z444" s="9">
        <v>102</v>
      </c>
      <c r="AA444" s="8">
        <f>1000/Z444</f>
        <v>9.8039215686274517</v>
      </c>
      <c r="AB444" s="8">
        <f>8.33*AA444</f>
        <v>81.666666666666671</v>
      </c>
      <c r="AC444" s="1">
        <v>36</v>
      </c>
      <c r="AD444" s="9">
        <v>36</v>
      </c>
      <c r="AE444" s="8">
        <f>1000/AD444</f>
        <v>27.777777777777779</v>
      </c>
      <c r="AF444" s="8">
        <f>8.33*AE444</f>
        <v>231.38888888888889</v>
      </c>
      <c r="AG444" s="1">
        <v>4</v>
      </c>
      <c r="AH444" s="9">
        <v>4</v>
      </c>
      <c r="AI444" s="8">
        <f>1/AH444</f>
        <v>0.25</v>
      </c>
      <c r="AJ444" s="8">
        <f>8.33*AI444</f>
        <v>2.0825</v>
      </c>
    </row>
    <row r="445" spans="1:36" x14ac:dyDescent="0.2">
      <c r="A445">
        <v>-197</v>
      </c>
      <c r="B445" s="10" t="s">
        <v>94</v>
      </c>
      <c r="D445" s="15" t="s">
        <v>961</v>
      </c>
      <c r="E445" s="13">
        <v>6</v>
      </c>
      <c r="F445" s="13">
        <v>11</v>
      </c>
      <c r="G445" s="13">
        <f t="shared" si="21"/>
        <v>304</v>
      </c>
      <c r="H445" s="13">
        <v>198</v>
      </c>
      <c r="I445" s="14">
        <f t="shared" si="22"/>
        <v>-197.15068493150685</v>
      </c>
      <c r="J445" s="15" t="s">
        <v>962</v>
      </c>
      <c r="K445" s="10" t="s">
        <v>41</v>
      </c>
      <c r="R445" s="8"/>
      <c r="S445" s="8"/>
      <c r="T445" s="8"/>
      <c r="U445" s="1">
        <v>276</v>
      </c>
      <c r="V445" s="9">
        <v>276</v>
      </c>
      <c r="W445" s="8">
        <f>1000/V445</f>
        <v>3.6231884057971016</v>
      </c>
      <c r="X445" s="8">
        <f>8.33*W445</f>
        <v>30.181159420289855</v>
      </c>
      <c r="Y445" s="1">
        <v>72</v>
      </c>
      <c r="Z445" s="9">
        <v>72</v>
      </c>
      <c r="AA445" s="8">
        <f>1000/Z445</f>
        <v>13.888888888888889</v>
      </c>
      <c r="AB445" s="8">
        <f>8.33*AA445</f>
        <v>115.69444444444444</v>
      </c>
      <c r="AC445" s="1">
        <v>36</v>
      </c>
      <c r="AD445" s="9">
        <v>36</v>
      </c>
      <c r="AE445" s="8">
        <f>1000/AD445</f>
        <v>27.777777777777779</v>
      </c>
      <c r="AF445" s="8">
        <f>8.33*AE445</f>
        <v>231.38888888888889</v>
      </c>
      <c r="AG445" s="1">
        <v>4</v>
      </c>
      <c r="AH445" s="9">
        <v>4</v>
      </c>
      <c r="AI445" s="8">
        <f>1/AH445</f>
        <v>0.25</v>
      </c>
      <c r="AJ445" s="8">
        <f>8.33*AI445</f>
        <v>2.0825</v>
      </c>
    </row>
    <row r="446" spans="1:36" x14ac:dyDescent="0.2">
      <c r="A446">
        <v>-197</v>
      </c>
      <c r="B446" s="10" t="s">
        <v>36</v>
      </c>
      <c r="D446" s="15" t="s">
        <v>963</v>
      </c>
      <c r="E446" s="13">
        <v>6</v>
      </c>
      <c r="F446" s="13">
        <v>12</v>
      </c>
      <c r="G446" s="13">
        <f t="shared" si="21"/>
        <v>334</v>
      </c>
      <c r="H446" s="13">
        <v>197</v>
      </c>
      <c r="I446" s="14">
        <f t="shared" si="22"/>
        <v>-196.06849315068493</v>
      </c>
      <c r="J446" s="15" t="s">
        <v>964</v>
      </c>
      <c r="K446" s="2">
        <v>150</v>
      </c>
      <c r="L446" s="8">
        <v>150</v>
      </c>
      <c r="M446" s="8">
        <f>1000/L446</f>
        <v>6.666666666666667</v>
      </c>
      <c r="N446" s="8">
        <f>8.33*M446</f>
        <v>55.533333333333339</v>
      </c>
      <c r="O446" s="8">
        <f>1.613*N446</f>
        <v>89.575266666666678</v>
      </c>
      <c r="P446" s="1">
        <v>270</v>
      </c>
      <c r="Q446" s="9">
        <v>270</v>
      </c>
      <c r="R446" s="8">
        <f>1000/Q446</f>
        <v>3.7037037037037037</v>
      </c>
      <c r="S446" s="8">
        <f>8.33*R446</f>
        <v>30.851851851851851</v>
      </c>
      <c r="T446" s="8">
        <f>S446*1.33</f>
        <v>41.032962962962962</v>
      </c>
      <c r="U446" t="s">
        <v>41</v>
      </c>
    </row>
    <row r="447" spans="1:36" x14ac:dyDescent="0.2">
      <c r="A447">
        <v>-197</v>
      </c>
      <c r="B447" s="10" t="s">
        <v>75</v>
      </c>
      <c r="D447" s="15" t="s">
        <v>965</v>
      </c>
      <c r="E447" s="13">
        <v>4</v>
      </c>
      <c r="F447" s="13">
        <v>1</v>
      </c>
      <c r="G447" s="13">
        <f t="shared" si="21"/>
        <v>0</v>
      </c>
      <c r="H447" s="13">
        <v>197</v>
      </c>
      <c r="I447" s="14">
        <f t="shared" si="22"/>
        <v>-196.9890410958904</v>
      </c>
      <c r="J447" s="15" t="s">
        <v>966</v>
      </c>
      <c r="T447" s="8"/>
    </row>
    <row r="448" spans="1:36" x14ac:dyDescent="0.2">
      <c r="A448">
        <v>-197</v>
      </c>
      <c r="B448" s="10" t="s">
        <v>83</v>
      </c>
      <c r="D448" s="15" t="s">
        <v>967</v>
      </c>
      <c r="E448" s="13">
        <v>3</v>
      </c>
      <c r="F448" s="13">
        <v>2</v>
      </c>
      <c r="G448" s="13">
        <f t="shared" si="21"/>
        <v>31</v>
      </c>
      <c r="H448" s="13">
        <v>197</v>
      </c>
      <c r="I448" s="14">
        <f t="shared" si="22"/>
        <v>-196.90684931506848</v>
      </c>
      <c r="J448" s="15" t="s">
        <v>968</v>
      </c>
      <c r="K448" s="2">
        <v>174</v>
      </c>
      <c r="L448" s="8">
        <v>174</v>
      </c>
      <c r="M448" s="8">
        <f>1000/L448</f>
        <v>5.7471264367816088</v>
      </c>
      <c r="N448" s="8">
        <f>8.33*M448</f>
        <v>47.8735632183908</v>
      </c>
      <c r="O448" s="8">
        <f>1.613*N448</f>
        <v>77.220057471264354</v>
      </c>
      <c r="T448" s="8"/>
      <c r="U448" s="1">
        <v>246</v>
      </c>
      <c r="V448" s="9">
        <v>246</v>
      </c>
      <c r="W448" s="8">
        <f>1000/V448</f>
        <v>4.0650406504065044</v>
      </c>
      <c r="X448" s="8">
        <f>8.33*W448</f>
        <v>33.861788617886184</v>
      </c>
      <c r="Y448" s="1">
        <v>108</v>
      </c>
      <c r="Z448" s="9">
        <v>108</v>
      </c>
      <c r="AA448" s="8">
        <f>1000/Z448</f>
        <v>9.2592592592592595</v>
      </c>
      <c r="AB448" s="8">
        <f>8.33*AA448</f>
        <v>77.129629629629633</v>
      </c>
      <c r="AC448" s="1">
        <v>33</v>
      </c>
      <c r="AD448" s="9">
        <v>33</v>
      </c>
      <c r="AE448" s="8">
        <f>1000/AD448</f>
        <v>30.303030303030305</v>
      </c>
      <c r="AF448" s="8">
        <f>8.33*AE448</f>
        <v>252.42424242424244</v>
      </c>
      <c r="AG448" s="1">
        <v>4</v>
      </c>
      <c r="AH448" s="9">
        <v>4</v>
      </c>
      <c r="AI448" s="8">
        <f>1/AH448</f>
        <v>0.25</v>
      </c>
      <c r="AJ448" s="8">
        <f>8.33*AI448</f>
        <v>2.0825</v>
      </c>
    </row>
    <row r="449" spans="1:36" x14ac:dyDescent="0.2">
      <c r="A449">
        <v>-197</v>
      </c>
      <c r="B449" s="10" t="s">
        <v>83</v>
      </c>
      <c r="C449" s="11" t="s">
        <v>39</v>
      </c>
      <c r="D449" s="15" t="s">
        <v>967</v>
      </c>
      <c r="E449" s="13">
        <v>3</v>
      </c>
      <c r="F449" s="13">
        <v>2</v>
      </c>
      <c r="G449" s="13">
        <f t="shared" si="21"/>
        <v>31</v>
      </c>
      <c r="H449" s="13">
        <v>197</v>
      </c>
      <c r="I449" s="14">
        <f t="shared" si="22"/>
        <v>-196.90684931506848</v>
      </c>
      <c r="J449" s="15" t="s">
        <v>969</v>
      </c>
      <c r="P449" t="s">
        <v>41</v>
      </c>
      <c r="T449" s="8"/>
    </row>
    <row r="450" spans="1:36" x14ac:dyDescent="0.2">
      <c r="A450">
        <v>-197</v>
      </c>
      <c r="B450" s="10" t="s">
        <v>83</v>
      </c>
      <c r="C450" s="11" t="s">
        <v>42</v>
      </c>
      <c r="D450" s="15" t="s">
        <v>970</v>
      </c>
      <c r="E450" s="13">
        <v>13</v>
      </c>
      <c r="F450" s="13">
        <v>2</v>
      </c>
      <c r="G450" s="13">
        <f t="shared" ref="G450:G513" si="23">INDEX(A$1502:A$1513,F450)</f>
        <v>31</v>
      </c>
      <c r="H450" s="13">
        <v>197</v>
      </c>
      <c r="I450" s="14">
        <f t="shared" si="22"/>
        <v>-196.87945205479451</v>
      </c>
      <c r="J450" s="15" t="s">
        <v>971</v>
      </c>
      <c r="P450">
        <v>300</v>
      </c>
      <c r="Q450" s="17">
        <v>300</v>
      </c>
      <c r="R450" s="16">
        <f>1000/Q450</f>
        <v>3.3333333333333335</v>
      </c>
      <c r="S450" s="16">
        <f>8.33*R450</f>
        <v>27.766666666666669</v>
      </c>
      <c r="T450" s="19">
        <f>S450*1.33</f>
        <v>36.92966666666667</v>
      </c>
    </row>
    <row r="451" spans="1:36" x14ac:dyDescent="0.2">
      <c r="A451">
        <v>-197</v>
      </c>
      <c r="B451" s="10" t="s">
        <v>83</v>
      </c>
      <c r="C451" s="11" t="s">
        <v>45</v>
      </c>
      <c r="D451" s="15" t="s">
        <v>972</v>
      </c>
      <c r="E451" s="13">
        <v>23</v>
      </c>
      <c r="F451" s="13">
        <v>2</v>
      </c>
      <c r="G451" s="13">
        <f t="shared" si="23"/>
        <v>31</v>
      </c>
      <c r="H451" s="13">
        <v>197</v>
      </c>
      <c r="I451" s="14">
        <f t="shared" ref="I451:I514" si="24">($E451+$G451)/365-$H451</f>
        <v>-196.85205479452054</v>
      </c>
      <c r="J451" s="15" t="s">
        <v>968</v>
      </c>
      <c r="T451" s="8"/>
    </row>
    <row r="452" spans="1:36" x14ac:dyDescent="0.2">
      <c r="A452">
        <v>-197</v>
      </c>
      <c r="B452" s="10" t="s">
        <v>127</v>
      </c>
      <c r="D452" s="15" t="s">
        <v>973</v>
      </c>
      <c r="E452" s="13">
        <v>3</v>
      </c>
      <c r="F452" s="13">
        <v>3</v>
      </c>
      <c r="G452" s="13">
        <f t="shared" si="23"/>
        <v>59</v>
      </c>
      <c r="H452" s="13">
        <v>197</v>
      </c>
      <c r="I452" s="14">
        <f t="shared" si="24"/>
        <v>-196.83013698630137</v>
      </c>
      <c r="J452" s="15" t="s">
        <v>974</v>
      </c>
      <c r="T452" s="8"/>
      <c r="Y452">
        <v>96</v>
      </c>
      <c r="Z452" s="17">
        <v>96</v>
      </c>
      <c r="AA452" s="16">
        <f>1000/Z452</f>
        <v>10.416666666666666</v>
      </c>
      <c r="AB452" s="16">
        <f>8.33*AA452</f>
        <v>86.770833333333329</v>
      </c>
      <c r="AC452" s="1">
        <v>33</v>
      </c>
      <c r="AD452" s="9">
        <v>33</v>
      </c>
      <c r="AE452" s="8">
        <f>1000/AD452</f>
        <v>30.303030303030305</v>
      </c>
      <c r="AF452" s="8">
        <f>8.33*AE452</f>
        <v>252.42424242424244</v>
      </c>
      <c r="AG452" s="1">
        <v>4</v>
      </c>
      <c r="AH452" s="9">
        <v>4</v>
      </c>
      <c r="AI452" s="8">
        <f>1/AH452</f>
        <v>0.25</v>
      </c>
      <c r="AJ452" s="8">
        <f>8.33*AI452</f>
        <v>2.0825</v>
      </c>
    </row>
    <row r="453" spans="1:36" x14ac:dyDescent="0.2">
      <c r="A453">
        <v>-195</v>
      </c>
      <c r="B453" s="10" t="s">
        <v>47</v>
      </c>
      <c r="D453" s="15" t="s">
        <v>975</v>
      </c>
      <c r="E453" s="13">
        <v>20</v>
      </c>
      <c r="F453" s="13">
        <v>5</v>
      </c>
      <c r="G453" s="13">
        <f t="shared" si="23"/>
        <v>120</v>
      </c>
      <c r="H453" s="13">
        <v>196</v>
      </c>
      <c r="I453" s="14">
        <f t="shared" si="24"/>
        <v>-195.61643835616439</v>
      </c>
      <c r="J453" s="15" t="s">
        <v>976</v>
      </c>
      <c r="T453" s="8"/>
      <c r="AE453" s="8"/>
      <c r="AF453" s="8"/>
      <c r="AG453" s="1">
        <v>4</v>
      </c>
      <c r="AH453" s="9">
        <v>4</v>
      </c>
      <c r="AI453" s="8">
        <f>1/AH453</f>
        <v>0.25</v>
      </c>
      <c r="AJ453" s="8">
        <f>8.33*AI453</f>
        <v>2.0825</v>
      </c>
    </row>
    <row r="454" spans="1:36" x14ac:dyDescent="0.2">
      <c r="A454">
        <v>-195</v>
      </c>
      <c r="B454" s="10" t="s">
        <v>65</v>
      </c>
      <c r="D454" s="15" t="s">
        <v>977</v>
      </c>
      <c r="E454" s="13">
        <v>18</v>
      </c>
      <c r="F454" s="13">
        <v>6</v>
      </c>
      <c r="G454" s="13">
        <f t="shared" si="23"/>
        <v>151</v>
      </c>
      <c r="H454" s="13">
        <v>196</v>
      </c>
      <c r="I454" s="14">
        <f t="shared" si="24"/>
        <v>-195.53698630136986</v>
      </c>
      <c r="J454" s="15" t="s">
        <v>978</v>
      </c>
      <c r="P454" t="s">
        <v>979</v>
      </c>
      <c r="Q454" s="20">
        <v>198</v>
      </c>
      <c r="R454" s="19">
        <f>1000/Q454</f>
        <v>5.0505050505050502</v>
      </c>
      <c r="S454" s="19">
        <f>8.33*R454</f>
        <v>42.070707070707066</v>
      </c>
      <c r="T454" s="19">
        <f>S454*1.33</f>
        <v>55.954040404040398</v>
      </c>
      <c r="U454" t="s">
        <v>926</v>
      </c>
      <c r="V454" s="20">
        <v>450</v>
      </c>
      <c r="W454" s="19">
        <f>1000/V454</f>
        <v>2.2222222222222223</v>
      </c>
      <c r="X454" s="19">
        <f>8.33*W454</f>
        <v>18.511111111111113</v>
      </c>
      <c r="Y454" s="1">
        <v>36</v>
      </c>
      <c r="Z454" s="9">
        <v>36</v>
      </c>
      <c r="AA454" s="8">
        <f>1000/Z454</f>
        <v>27.777777777777779</v>
      </c>
      <c r="AB454" s="8">
        <f>8.33*AA454</f>
        <v>231.38888888888889</v>
      </c>
      <c r="AC454" s="1">
        <v>33</v>
      </c>
      <c r="AD454" s="9">
        <v>33</v>
      </c>
      <c r="AE454" s="8">
        <f>1000/AD454</f>
        <v>30.303030303030305</v>
      </c>
      <c r="AF454" s="8">
        <f>8.33*AE454</f>
        <v>252.42424242424244</v>
      </c>
    </row>
    <row r="455" spans="1:36" x14ac:dyDescent="0.2">
      <c r="A455">
        <v>-195</v>
      </c>
      <c r="B455" s="10" t="s">
        <v>36</v>
      </c>
      <c r="D455" s="15" t="s">
        <v>980</v>
      </c>
      <c r="E455" s="13">
        <v>13</v>
      </c>
      <c r="F455" s="13">
        <v>12</v>
      </c>
      <c r="G455" s="13">
        <f t="shared" si="23"/>
        <v>334</v>
      </c>
      <c r="H455" s="13">
        <v>196</v>
      </c>
      <c r="I455" s="14">
        <f t="shared" si="24"/>
        <v>-195.04931506849314</v>
      </c>
      <c r="J455" s="15" t="s">
        <v>981</v>
      </c>
      <c r="P455" s="1" t="s">
        <v>982</v>
      </c>
      <c r="Q455" s="21">
        <v>204</v>
      </c>
      <c r="R455" s="22">
        <f>1000/Q455</f>
        <v>4.9019607843137258</v>
      </c>
      <c r="S455" s="22">
        <f>8.33*R455</f>
        <v>40.833333333333336</v>
      </c>
      <c r="T455" s="22">
        <f>S455*1.33</f>
        <v>54.308333333333337</v>
      </c>
      <c r="U455" s="1" t="s">
        <v>983</v>
      </c>
      <c r="V455" s="21">
        <v>426</v>
      </c>
      <c r="W455" s="22">
        <f>1000/V455</f>
        <v>2.347417840375587</v>
      </c>
      <c r="X455" s="22">
        <f>8.33*W455</f>
        <v>19.55399061032864</v>
      </c>
      <c r="Y455" s="1" t="s">
        <v>41</v>
      </c>
      <c r="Z455" s="9"/>
      <c r="AC455" s="1">
        <v>30</v>
      </c>
      <c r="AD455" s="9">
        <v>30</v>
      </c>
      <c r="AE455" s="8">
        <f>1000/AD455</f>
        <v>33.333333333333336</v>
      </c>
      <c r="AF455" s="8">
        <f>8.33*AE455</f>
        <v>277.66666666666669</v>
      </c>
      <c r="AG455" s="1">
        <v>4</v>
      </c>
      <c r="AH455" s="9">
        <v>4</v>
      </c>
      <c r="AI455" s="8">
        <f>1/AH455</f>
        <v>0.25</v>
      </c>
      <c r="AJ455" s="8">
        <f>8.33*AI455</f>
        <v>2.0825</v>
      </c>
    </row>
    <row r="456" spans="1:36" x14ac:dyDescent="0.2">
      <c r="A456">
        <v>-195</v>
      </c>
      <c r="B456" s="10" t="s">
        <v>36</v>
      </c>
      <c r="C456" s="11" t="s">
        <v>39</v>
      </c>
      <c r="D456" s="15" t="s">
        <v>980</v>
      </c>
      <c r="E456" s="13">
        <v>13</v>
      </c>
      <c r="F456" s="13">
        <v>12</v>
      </c>
      <c r="G456" s="13">
        <f t="shared" si="23"/>
        <v>334</v>
      </c>
      <c r="H456" s="13">
        <v>196</v>
      </c>
      <c r="I456" s="14">
        <f t="shared" si="24"/>
        <v>-195.04931506849314</v>
      </c>
      <c r="J456" s="15" t="s">
        <v>984</v>
      </c>
      <c r="K456" s="10">
        <v>72</v>
      </c>
      <c r="L456" s="16">
        <v>72</v>
      </c>
      <c r="M456" s="16">
        <f>1000/L456</f>
        <v>13.888888888888889</v>
      </c>
      <c r="N456" s="16">
        <f>8.33*M456</f>
        <v>115.69444444444444</v>
      </c>
      <c r="O456" s="16">
        <f>1.613*N456</f>
        <v>186.61513888888888</v>
      </c>
      <c r="R456" s="8"/>
      <c r="S456" s="8"/>
      <c r="T456" s="8"/>
    </row>
    <row r="457" spans="1:36" x14ac:dyDescent="0.2">
      <c r="A457">
        <v>-195</v>
      </c>
      <c r="B457" s="10" t="s">
        <v>36</v>
      </c>
      <c r="C457" s="11" t="s">
        <v>42</v>
      </c>
      <c r="D457" s="15" t="s">
        <v>985</v>
      </c>
      <c r="E457" s="13">
        <v>23</v>
      </c>
      <c r="F457" s="13">
        <v>12</v>
      </c>
      <c r="G457" s="13">
        <f t="shared" si="23"/>
        <v>334</v>
      </c>
      <c r="H457" s="13">
        <v>196</v>
      </c>
      <c r="I457" s="14">
        <f t="shared" si="24"/>
        <v>-195.02191780821917</v>
      </c>
      <c r="J457" s="15" t="s">
        <v>986</v>
      </c>
      <c r="K457" s="10">
        <v>78</v>
      </c>
      <c r="L457" s="16">
        <v>78</v>
      </c>
      <c r="M457" s="16">
        <f>1000/L457</f>
        <v>12.820512820512821</v>
      </c>
      <c r="N457" s="16">
        <f>8.33*M457</f>
        <v>106.7948717948718</v>
      </c>
      <c r="O457" s="16">
        <f>1.613*N457</f>
        <v>172.26012820512821</v>
      </c>
      <c r="R457" s="8"/>
      <c r="S457" s="8"/>
      <c r="T457" s="8"/>
    </row>
    <row r="458" spans="1:36" x14ac:dyDescent="0.2">
      <c r="A458">
        <v>-195</v>
      </c>
      <c r="B458" s="10" t="s">
        <v>36</v>
      </c>
      <c r="C458" s="11" t="s">
        <v>45</v>
      </c>
      <c r="D458" s="15" t="s">
        <v>987</v>
      </c>
      <c r="E458" s="13">
        <v>2</v>
      </c>
      <c r="F458" s="13">
        <v>1</v>
      </c>
      <c r="G458" s="13">
        <f t="shared" si="23"/>
        <v>0</v>
      </c>
      <c r="H458" s="13">
        <v>195</v>
      </c>
      <c r="I458" s="14">
        <f t="shared" si="24"/>
        <v>-194.9945205479452</v>
      </c>
      <c r="J458" s="15" t="s">
        <v>981</v>
      </c>
      <c r="K458" s="10">
        <v>84</v>
      </c>
      <c r="L458" s="16">
        <v>84</v>
      </c>
      <c r="M458" s="16">
        <f>1000/L458</f>
        <v>11.904761904761905</v>
      </c>
      <c r="N458" s="16">
        <f>8.33*M458</f>
        <v>99.166666666666671</v>
      </c>
      <c r="O458" s="16">
        <f>1.613*N458</f>
        <v>159.95583333333335</v>
      </c>
      <c r="R458" s="8"/>
      <c r="S458" s="8"/>
      <c r="T458" s="8"/>
    </row>
    <row r="459" spans="1:36" x14ac:dyDescent="0.2">
      <c r="A459">
        <v>-194</v>
      </c>
      <c r="B459" s="10" t="s">
        <v>65</v>
      </c>
      <c r="D459" s="15" t="s">
        <v>988</v>
      </c>
      <c r="E459" s="13">
        <v>8</v>
      </c>
      <c r="F459" s="13">
        <v>6</v>
      </c>
      <c r="G459" s="13">
        <f t="shared" si="23"/>
        <v>151</v>
      </c>
      <c r="H459" s="13">
        <v>195</v>
      </c>
      <c r="I459" s="14">
        <f t="shared" si="24"/>
        <v>-194.56438356164384</v>
      </c>
      <c r="J459" s="15" t="s">
        <v>989</v>
      </c>
      <c r="K459" s="2">
        <v>108</v>
      </c>
      <c r="L459" s="8">
        <v>108</v>
      </c>
      <c r="M459" s="8">
        <f>1000/L459</f>
        <v>9.2592592592592595</v>
      </c>
      <c r="N459" s="8">
        <f>8.33*M459</f>
        <v>77.129629629629633</v>
      </c>
      <c r="O459" s="8">
        <f>1.613*N459</f>
        <v>124.41009259259259</v>
      </c>
      <c r="P459" s="1">
        <v>180</v>
      </c>
      <c r="Q459" s="9">
        <v>180</v>
      </c>
      <c r="R459" s="8">
        <f>1000/Q459</f>
        <v>5.5555555555555554</v>
      </c>
      <c r="S459" s="8">
        <f>8.33*R459</f>
        <v>46.277777777777779</v>
      </c>
      <c r="T459" s="8">
        <f>S459*1.33</f>
        <v>61.549444444444447</v>
      </c>
      <c r="U459" t="s">
        <v>41</v>
      </c>
    </row>
    <row r="460" spans="1:36" x14ac:dyDescent="0.2">
      <c r="A460">
        <v>-193</v>
      </c>
      <c r="B460" s="10" t="s">
        <v>91</v>
      </c>
      <c r="D460" s="15" t="s">
        <v>990</v>
      </c>
      <c r="E460" s="13">
        <v>23</v>
      </c>
      <c r="F460" s="13">
        <v>9</v>
      </c>
      <c r="G460" s="13">
        <f t="shared" si="23"/>
        <v>243</v>
      </c>
      <c r="H460" s="13">
        <v>194</v>
      </c>
      <c r="I460" s="14">
        <f t="shared" si="24"/>
        <v>-193.27123287671233</v>
      </c>
      <c r="J460" s="15" t="s">
        <v>991</v>
      </c>
      <c r="K460" s="2" t="s">
        <v>992</v>
      </c>
      <c r="L460" s="22">
        <v>54</v>
      </c>
      <c r="M460" s="22">
        <f>1000/L460</f>
        <v>18.518518518518519</v>
      </c>
      <c r="N460" s="22">
        <f>8.33*M460</f>
        <v>154.25925925925927</v>
      </c>
      <c r="O460" s="22">
        <f>1.613*N460</f>
        <v>248.82018518518518</v>
      </c>
      <c r="P460" s="1" t="s">
        <v>993</v>
      </c>
      <c r="Q460" s="9">
        <v>96</v>
      </c>
      <c r="R460" s="8">
        <f>1000/Q460</f>
        <v>10.416666666666666</v>
      </c>
      <c r="S460" s="8">
        <f>8.33*R460</f>
        <v>86.770833333333329</v>
      </c>
      <c r="T460" s="8">
        <f>S460*1.33</f>
        <v>115.40520833333333</v>
      </c>
      <c r="U460" s="1">
        <v>360</v>
      </c>
      <c r="V460" s="9">
        <v>360</v>
      </c>
      <c r="W460" s="8">
        <f>1000/V460</f>
        <v>2.7777777777777777</v>
      </c>
      <c r="X460" s="8">
        <f>8.33*W460</f>
        <v>23.138888888888889</v>
      </c>
      <c r="Y460" s="1">
        <v>24</v>
      </c>
      <c r="Z460" s="9">
        <v>24</v>
      </c>
      <c r="AA460" s="8">
        <f>1000/Z460</f>
        <v>41.666666666666664</v>
      </c>
      <c r="AB460" s="8">
        <f>8.33*AA460</f>
        <v>347.08333333333331</v>
      </c>
      <c r="AC460" t="s">
        <v>41</v>
      </c>
    </row>
    <row r="461" spans="1:36" x14ac:dyDescent="0.2">
      <c r="A461">
        <v>-193</v>
      </c>
      <c r="B461" s="10" t="s">
        <v>94</v>
      </c>
      <c r="D461" s="15" t="s">
        <v>994</v>
      </c>
      <c r="E461" s="13">
        <v>23</v>
      </c>
      <c r="F461" s="13">
        <v>10</v>
      </c>
      <c r="G461" s="13">
        <f t="shared" si="23"/>
        <v>273</v>
      </c>
      <c r="H461" s="13">
        <v>194</v>
      </c>
      <c r="I461" s="14">
        <f t="shared" si="24"/>
        <v>-193.18904109589042</v>
      </c>
      <c r="J461" s="15" t="s">
        <v>995</v>
      </c>
      <c r="P461" t="s">
        <v>996</v>
      </c>
      <c r="T461" s="8"/>
      <c r="U461" s="1">
        <v>360</v>
      </c>
      <c r="V461" s="9">
        <v>360</v>
      </c>
      <c r="W461" s="8">
        <f>1000/V461</f>
        <v>2.7777777777777777</v>
      </c>
      <c r="X461" s="8">
        <f>8.33*W461</f>
        <v>23.138888888888889</v>
      </c>
      <c r="Y461" s="1">
        <v>24</v>
      </c>
      <c r="Z461" s="9">
        <v>24</v>
      </c>
      <c r="AA461" s="8">
        <f>1000/Z461</f>
        <v>41.666666666666664</v>
      </c>
      <c r="AB461" s="8">
        <f>8.33*AA461</f>
        <v>347.08333333333331</v>
      </c>
      <c r="AC461" s="1">
        <v>16.5</v>
      </c>
      <c r="AD461" s="9">
        <v>16.5</v>
      </c>
      <c r="AE461" s="8">
        <f>1000/AD461</f>
        <v>60.606060606060609</v>
      </c>
      <c r="AF461" s="8">
        <f>8.33*AE461</f>
        <v>504.84848484848487</v>
      </c>
      <c r="AG461" s="1">
        <v>3</v>
      </c>
      <c r="AH461" s="9">
        <v>3</v>
      </c>
      <c r="AI461" s="8">
        <f>1/AH461</f>
        <v>0.33333333333333331</v>
      </c>
      <c r="AJ461" s="8">
        <f>8.33*AI461</f>
        <v>2.7766666666666664</v>
      </c>
    </row>
    <row r="462" spans="1:36" x14ac:dyDescent="0.2">
      <c r="A462">
        <v>-193</v>
      </c>
      <c r="B462" s="10" t="s">
        <v>75</v>
      </c>
      <c r="D462" s="15" t="s">
        <v>997</v>
      </c>
      <c r="E462" s="13">
        <v>21</v>
      </c>
      <c r="F462" s="13">
        <v>12</v>
      </c>
      <c r="G462" s="13">
        <f t="shared" si="23"/>
        <v>334</v>
      </c>
      <c r="H462" s="13">
        <v>194</v>
      </c>
      <c r="I462" s="14">
        <f t="shared" si="24"/>
        <v>-193.02739726027397</v>
      </c>
      <c r="J462" s="15" t="s">
        <v>998</v>
      </c>
      <c r="M462" s="8"/>
      <c r="T462" s="8"/>
      <c r="U462" s="1" t="s">
        <v>999</v>
      </c>
      <c r="V462" s="21">
        <v>360</v>
      </c>
      <c r="W462" s="22">
        <f>1000/V462</f>
        <v>2.7777777777777777</v>
      </c>
      <c r="X462" s="22">
        <f>8.33*W462</f>
        <v>23.138888888888889</v>
      </c>
      <c r="Y462" s="1">
        <v>24</v>
      </c>
      <c r="Z462" s="9">
        <v>24</v>
      </c>
      <c r="AA462" s="8">
        <f>1000/Z462</f>
        <v>41.666666666666664</v>
      </c>
      <c r="AB462" s="8">
        <f>8.33*AA462</f>
        <v>347.08333333333331</v>
      </c>
      <c r="AC462" s="1">
        <v>16.5</v>
      </c>
      <c r="AD462" s="9">
        <v>16.5</v>
      </c>
      <c r="AE462" s="8">
        <f>1000/AD462</f>
        <v>60.606060606060609</v>
      </c>
      <c r="AF462" s="8">
        <f>8.33*AE462</f>
        <v>504.84848484848487</v>
      </c>
    </row>
    <row r="463" spans="1:36" x14ac:dyDescent="0.2">
      <c r="A463">
        <v>-193</v>
      </c>
      <c r="B463" s="10" t="s">
        <v>83</v>
      </c>
      <c r="D463" s="15" t="s">
        <v>1000</v>
      </c>
      <c r="E463" s="13">
        <v>20</v>
      </c>
      <c r="F463" s="13">
        <v>1</v>
      </c>
      <c r="G463" s="13">
        <f t="shared" si="23"/>
        <v>0</v>
      </c>
      <c r="H463" s="13">
        <v>193</v>
      </c>
      <c r="I463" s="14">
        <f t="shared" si="24"/>
        <v>-192.94520547945206</v>
      </c>
      <c r="J463" s="15" t="s">
        <v>1001</v>
      </c>
      <c r="K463" s="10" t="s">
        <v>1002</v>
      </c>
      <c r="L463" s="22">
        <v>51</v>
      </c>
      <c r="M463" s="22">
        <f>1000/L463</f>
        <v>19.607843137254903</v>
      </c>
      <c r="N463" s="22">
        <f>8.33*M463</f>
        <v>163.33333333333334</v>
      </c>
      <c r="O463" s="22">
        <f>1.613*N463</f>
        <v>263.45666666666671</v>
      </c>
      <c r="T463" s="8"/>
      <c r="W463" s="8"/>
      <c r="X463" s="8"/>
      <c r="Y463" s="1"/>
      <c r="Z463" s="9"/>
      <c r="AA463" s="8"/>
      <c r="AB463" s="8"/>
      <c r="AE463" s="8"/>
      <c r="AF463" s="8"/>
    </row>
    <row r="464" spans="1:36" x14ac:dyDescent="0.2">
      <c r="A464">
        <v>-193</v>
      </c>
      <c r="B464" s="10" t="s">
        <v>127</v>
      </c>
      <c r="D464" s="15" t="s">
        <v>1003</v>
      </c>
      <c r="E464" s="13">
        <v>18</v>
      </c>
      <c r="F464" s="13">
        <v>2</v>
      </c>
      <c r="G464" s="13">
        <f t="shared" si="23"/>
        <v>31</v>
      </c>
      <c r="H464" s="13">
        <v>193</v>
      </c>
      <c r="I464" s="14">
        <f t="shared" si="24"/>
        <v>-192.86575342465753</v>
      </c>
      <c r="J464" s="15" t="s">
        <v>1004</v>
      </c>
      <c r="T464" s="8"/>
      <c r="U464" s="1">
        <v>360</v>
      </c>
      <c r="V464" s="9">
        <v>360</v>
      </c>
      <c r="W464" s="8">
        <f>1000/V464</f>
        <v>2.7777777777777777</v>
      </c>
      <c r="X464" s="8">
        <f>8.33*W464</f>
        <v>23.138888888888889</v>
      </c>
      <c r="Y464" s="1">
        <v>60</v>
      </c>
      <c r="Z464" s="9">
        <v>60</v>
      </c>
      <c r="AA464" s="8">
        <f>1000/Z464</f>
        <v>16.666666666666668</v>
      </c>
      <c r="AB464" s="8">
        <f>8.33*AA464</f>
        <v>138.83333333333334</v>
      </c>
      <c r="AC464" s="1">
        <v>16</v>
      </c>
      <c r="AD464" s="9">
        <v>16</v>
      </c>
      <c r="AE464" s="8">
        <f>1000/AD464</f>
        <v>62.5</v>
      </c>
      <c r="AF464" s="8">
        <f>8.33*AE464</f>
        <v>520.625</v>
      </c>
      <c r="AG464" s="1" t="s">
        <v>41</v>
      </c>
    </row>
    <row r="465" spans="1:36" x14ac:dyDescent="0.2">
      <c r="A465">
        <v>-193</v>
      </c>
      <c r="B465" s="10" t="s">
        <v>127</v>
      </c>
      <c r="C465" s="11" t="s">
        <v>39</v>
      </c>
      <c r="D465" s="15" t="s">
        <v>1003</v>
      </c>
      <c r="E465" s="13">
        <v>18</v>
      </c>
      <c r="F465" s="13">
        <v>2</v>
      </c>
      <c r="G465" s="13">
        <f t="shared" si="23"/>
        <v>31</v>
      </c>
      <c r="H465" s="13">
        <v>193</v>
      </c>
      <c r="I465" s="14">
        <f t="shared" si="24"/>
        <v>-192.86575342465753</v>
      </c>
      <c r="J465" s="15" t="s">
        <v>1005</v>
      </c>
      <c r="K465" s="10">
        <v>55</v>
      </c>
      <c r="L465" s="16">
        <v>55</v>
      </c>
      <c r="M465" s="16">
        <f>1000/L465</f>
        <v>18.181818181818183</v>
      </c>
      <c r="N465" s="16">
        <f>8.33*M465</f>
        <v>151.45454545454547</v>
      </c>
      <c r="O465" s="16">
        <f>1.613*N465</f>
        <v>244.29618181818185</v>
      </c>
      <c r="T465" s="8"/>
      <c r="AH465" s="9"/>
    </row>
    <row r="466" spans="1:36" x14ac:dyDescent="0.2">
      <c r="A466">
        <v>-193</v>
      </c>
      <c r="B466" s="10" t="s">
        <v>127</v>
      </c>
      <c r="C466" s="11" t="s">
        <v>42</v>
      </c>
      <c r="D466" s="15" t="s">
        <v>1006</v>
      </c>
      <c r="E466" s="13">
        <v>28</v>
      </c>
      <c r="F466" s="13">
        <v>2</v>
      </c>
      <c r="G466" s="13">
        <f t="shared" si="23"/>
        <v>31</v>
      </c>
      <c r="H466" s="13">
        <v>193</v>
      </c>
      <c r="I466" s="14">
        <f t="shared" si="24"/>
        <v>-192.83835616438355</v>
      </c>
      <c r="J466" s="15" t="s">
        <v>1007</v>
      </c>
      <c r="T466" s="8"/>
    </row>
    <row r="467" spans="1:36" x14ac:dyDescent="0.2">
      <c r="A467">
        <v>-193</v>
      </c>
      <c r="B467" s="10" t="s">
        <v>127</v>
      </c>
      <c r="C467" s="11" t="s">
        <v>45</v>
      </c>
      <c r="D467" s="15" t="s">
        <v>1008</v>
      </c>
      <c r="E467" s="13">
        <v>9</v>
      </c>
      <c r="F467" s="13">
        <v>3</v>
      </c>
      <c r="G467" s="13">
        <f t="shared" si="23"/>
        <v>59</v>
      </c>
      <c r="H467" s="13">
        <v>193</v>
      </c>
      <c r="I467" s="14">
        <f t="shared" si="24"/>
        <v>-192.813698630137</v>
      </c>
      <c r="J467" s="15" t="s">
        <v>1004</v>
      </c>
      <c r="T467" s="8"/>
    </row>
    <row r="468" spans="1:36" x14ac:dyDescent="0.2">
      <c r="A468">
        <v>-191</v>
      </c>
      <c r="B468" s="10" t="s">
        <v>285</v>
      </c>
      <c r="D468" s="15" t="s">
        <v>1009</v>
      </c>
      <c r="E468" s="13">
        <v>3</v>
      </c>
      <c r="F468" s="13">
        <v>8</v>
      </c>
      <c r="G468" s="13">
        <f t="shared" si="23"/>
        <v>212</v>
      </c>
      <c r="H468" s="13">
        <v>192</v>
      </c>
      <c r="I468" s="14">
        <f t="shared" si="24"/>
        <v>-191.41095890410958</v>
      </c>
      <c r="J468" s="15" t="s">
        <v>1010</v>
      </c>
      <c r="K468" s="2">
        <v>120</v>
      </c>
      <c r="L468" s="8">
        <v>120</v>
      </c>
      <c r="M468" s="8">
        <f>1000/L468</f>
        <v>8.3333333333333339</v>
      </c>
      <c r="N468" s="8">
        <f>8.33*M468</f>
        <v>69.416666666666671</v>
      </c>
      <c r="O468" s="8">
        <f>1.613*N468</f>
        <v>111.96908333333334</v>
      </c>
      <c r="P468" s="1">
        <v>138</v>
      </c>
      <c r="Q468" s="9">
        <v>138</v>
      </c>
      <c r="R468" s="8">
        <f>1000/Q468</f>
        <v>7.2463768115942031</v>
      </c>
      <c r="S468" s="8">
        <f>8.33*R468</f>
        <v>60.362318840579711</v>
      </c>
      <c r="T468" s="8">
        <f>S468*1.33</f>
        <v>80.281884057971013</v>
      </c>
      <c r="U468" s="1" t="s">
        <v>41</v>
      </c>
      <c r="V468" s="9"/>
      <c r="Y468" s="1">
        <v>54</v>
      </c>
      <c r="Z468" s="9">
        <v>54</v>
      </c>
      <c r="AA468" s="8">
        <f>1000/Z468</f>
        <v>18.518518518518519</v>
      </c>
      <c r="AB468" s="8">
        <f>8.33*AA468</f>
        <v>154.25925925925927</v>
      </c>
      <c r="AC468" s="1">
        <v>21</v>
      </c>
      <c r="AD468" s="9">
        <v>21</v>
      </c>
      <c r="AE468" s="8">
        <f>1000/AD468</f>
        <v>47.61904761904762</v>
      </c>
      <c r="AF468" s="8">
        <f>8.33*AE468</f>
        <v>396.66666666666669</v>
      </c>
      <c r="AG468" t="s">
        <v>41</v>
      </c>
    </row>
    <row r="469" spans="1:36" x14ac:dyDescent="0.2">
      <c r="A469">
        <v>-191</v>
      </c>
      <c r="B469" s="10" t="s">
        <v>72</v>
      </c>
      <c r="D469" s="15" t="s">
        <v>1011</v>
      </c>
      <c r="E469" s="13">
        <v>2</v>
      </c>
      <c r="F469" s="13">
        <v>9</v>
      </c>
      <c r="G469" s="13">
        <f t="shared" si="23"/>
        <v>243</v>
      </c>
      <c r="H469" s="13">
        <v>192</v>
      </c>
      <c r="I469" s="14">
        <f t="shared" si="24"/>
        <v>-191.32876712328766</v>
      </c>
      <c r="J469" s="15" t="s">
        <v>1012</v>
      </c>
      <c r="K469" s="2">
        <v>120</v>
      </c>
      <c r="L469" s="8">
        <v>120</v>
      </c>
      <c r="M469" s="8">
        <f>1000/L469</f>
        <v>8.3333333333333339</v>
      </c>
      <c r="N469" s="8">
        <f>8.33*M469</f>
        <v>69.416666666666671</v>
      </c>
      <c r="O469" s="8">
        <f>1.613*N469</f>
        <v>111.96908333333334</v>
      </c>
      <c r="P469" s="1">
        <v>144</v>
      </c>
      <c r="Q469" s="9">
        <v>144</v>
      </c>
      <c r="R469" s="8">
        <f>1000/Q469</f>
        <v>6.9444444444444446</v>
      </c>
      <c r="S469" s="8">
        <f>8.33*R469</f>
        <v>57.847222222222221</v>
      </c>
      <c r="T469" s="8">
        <f>S469*1.33</f>
        <v>76.936805555555566</v>
      </c>
      <c r="U469" s="1" t="s">
        <v>1013</v>
      </c>
      <c r="V469" s="21">
        <v>540</v>
      </c>
      <c r="W469" s="22">
        <f>1000/V469</f>
        <v>1.8518518518518519</v>
      </c>
      <c r="X469" s="22">
        <f>8.33*W469</f>
        <v>15.425925925925926</v>
      </c>
      <c r="Y469" s="1">
        <v>54</v>
      </c>
      <c r="Z469" s="9">
        <v>54</v>
      </c>
      <c r="AA469" s="8">
        <f>1000/Z469</f>
        <v>18.518518518518519</v>
      </c>
      <c r="AB469" s="8">
        <f>8.33*AA469</f>
        <v>154.25925925925927</v>
      </c>
      <c r="AC469" s="1" t="s">
        <v>1014</v>
      </c>
      <c r="AD469" s="21">
        <v>18</v>
      </c>
      <c r="AE469" s="22">
        <f>1000/AD469</f>
        <v>55.555555555555557</v>
      </c>
      <c r="AF469" s="22">
        <f>8.33*AE469</f>
        <v>462.77777777777777</v>
      </c>
      <c r="AG469" t="s">
        <v>41</v>
      </c>
    </row>
    <row r="470" spans="1:36" x14ac:dyDescent="0.2">
      <c r="A470">
        <v>-191</v>
      </c>
      <c r="B470" s="10" t="s">
        <v>91</v>
      </c>
      <c r="D470" s="15" t="s">
        <v>1015</v>
      </c>
      <c r="E470" s="13">
        <v>1</v>
      </c>
      <c r="F470" s="13">
        <v>10</v>
      </c>
      <c r="G470" s="13">
        <f t="shared" si="23"/>
        <v>273</v>
      </c>
      <c r="H470" s="13">
        <v>192</v>
      </c>
      <c r="I470" s="14">
        <f t="shared" si="24"/>
        <v>-191.24931506849316</v>
      </c>
      <c r="J470" s="15" t="s">
        <v>1016</v>
      </c>
      <c r="R470" s="8"/>
      <c r="S470" s="8"/>
      <c r="T470" s="8"/>
      <c r="AA470" s="8"/>
      <c r="AB470" s="8"/>
      <c r="AC470" s="1">
        <v>30</v>
      </c>
      <c r="AD470" s="9">
        <v>30</v>
      </c>
      <c r="AE470" s="8">
        <f>1000/AD470</f>
        <v>33.333333333333336</v>
      </c>
      <c r="AF470" s="8">
        <f>8.33*AE470</f>
        <v>277.66666666666669</v>
      </c>
      <c r="AG470" s="1">
        <v>3</v>
      </c>
      <c r="AH470" s="9">
        <v>3</v>
      </c>
      <c r="AI470" s="8">
        <f>1/AH470</f>
        <v>0.33333333333333331</v>
      </c>
      <c r="AJ470" s="8">
        <f>8.33*AI470</f>
        <v>2.7766666666666664</v>
      </c>
    </row>
    <row r="471" spans="1:36" x14ac:dyDescent="0.2">
      <c r="A471">
        <v>-191</v>
      </c>
      <c r="B471" s="10" t="s">
        <v>94</v>
      </c>
      <c r="D471" s="15" t="s">
        <v>1017</v>
      </c>
      <c r="E471" s="13">
        <v>31</v>
      </c>
      <c r="F471" s="13">
        <v>10</v>
      </c>
      <c r="G471" s="13">
        <f t="shared" si="23"/>
        <v>273</v>
      </c>
      <c r="H471" s="13">
        <v>192</v>
      </c>
      <c r="I471" s="14">
        <f t="shared" si="24"/>
        <v>-191.16712328767125</v>
      </c>
      <c r="J471" s="15" t="s">
        <v>1018</v>
      </c>
      <c r="K471" s="2">
        <v>102</v>
      </c>
      <c r="L471" s="8">
        <v>102</v>
      </c>
      <c r="M471" s="8">
        <f>1000/L471</f>
        <v>9.8039215686274517</v>
      </c>
      <c r="N471" s="8">
        <f>8.33*M471</f>
        <v>81.666666666666671</v>
      </c>
      <c r="O471" s="8">
        <f>1.613*N471</f>
        <v>131.72833333333335</v>
      </c>
      <c r="P471" s="1" t="s">
        <v>501</v>
      </c>
      <c r="Q471" s="21">
        <v>180</v>
      </c>
      <c r="R471" s="22">
        <f>1000/Q471</f>
        <v>5.5555555555555554</v>
      </c>
      <c r="S471" s="22">
        <f>8.33*R471</f>
        <v>46.277777777777779</v>
      </c>
      <c r="T471" s="8">
        <f>S471*1.33</f>
        <v>61.549444444444447</v>
      </c>
      <c r="AA471" s="8"/>
      <c r="AB471" s="8"/>
    </row>
    <row r="472" spans="1:36" x14ac:dyDescent="0.2">
      <c r="A472">
        <v>-190</v>
      </c>
      <c r="B472" s="10" t="s">
        <v>47</v>
      </c>
      <c r="D472" s="15" t="s">
        <v>1019</v>
      </c>
      <c r="E472" s="13">
        <v>25</v>
      </c>
      <c r="F472" s="13">
        <v>4</v>
      </c>
      <c r="G472" s="13">
        <f t="shared" si="23"/>
        <v>90</v>
      </c>
      <c r="H472" s="13">
        <v>191</v>
      </c>
      <c r="I472" s="14">
        <f t="shared" si="24"/>
        <v>-190.68493150684932</v>
      </c>
      <c r="J472" s="15" t="s">
        <v>1020</v>
      </c>
      <c r="K472" s="2">
        <v>114</v>
      </c>
      <c r="L472" s="8">
        <v>114</v>
      </c>
      <c r="M472" s="8">
        <f>1000/L472</f>
        <v>8.7719298245614041</v>
      </c>
      <c r="N472" s="8">
        <f>8.33*M472</f>
        <v>73.070175438596493</v>
      </c>
      <c r="O472" s="8">
        <f>1.613*N472</f>
        <v>117.86219298245614</v>
      </c>
      <c r="P472" s="1">
        <v>150</v>
      </c>
      <c r="Q472" s="9">
        <v>150</v>
      </c>
      <c r="R472" s="8">
        <f>1000/Q472</f>
        <v>6.666666666666667</v>
      </c>
      <c r="S472" s="8">
        <f>8.33*R472</f>
        <v>55.533333333333339</v>
      </c>
      <c r="T472" s="8">
        <f>S472*1.33</f>
        <v>73.859333333333339</v>
      </c>
      <c r="U472" s="1">
        <v>450</v>
      </c>
      <c r="V472" s="9">
        <v>450</v>
      </c>
      <c r="W472" s="8">
        <f>1000/V472</f>
        <v>2.2222222222222223</v>
      </c>
      <c r="X472" s="8">
        <f>8.33*W472</f>
        <v>18.511111111111113</v>
      </c>
      <c r="Y472" s="1">
        <v>72</v>
      </c>
      <c r="Z472" s="9">
        <v>72</v>
      </c>
      <c r="AA472" s="8">
        <f>1000/Z472</f>
        <v>13.888888888888889</v>
      </c>
      <c r="AB472" s="8">
        <f>8.33*AA472</f>
        <v>115.69444444444444</v>
      </c>
      <c r="AC472" t="s">
        <v>41</v>
      </c>
    </row>
    <row r="473" spans="1:36" x14ac:dyDescent="0.2">
      <c r="A473">
        <v>-190</v>
      </c>
      <c r="B473" s="10" t="s">
        <v>65</v>
      </c>
      <c r="D473" s="15" t="s">
        <v>1021</v>
      </c>
      <c r="E473" s="13">
        <v>25</v>
      </c>
      <c r="F473" s="13">
        <v>5</v>
      </c>
      <c r="G473" s="13">
        <f t="shared" si="23"/>
        <v>120</v>
      </c>
      <c r="H473" s="13">
        <v>191</v>
      </c>
      <c r="I473" s="14">
        <f t="shared" si="24"/>
        <v>-190.60273972602741</v>
      </c>
      <c r="J473" s="15" t="s">
        <v>1022</v>
      </c>
      <c r="K473" s="10" t="s">
        <v>41</v>
      </c>
      <c r="P473">
        <v>150</v>
      </c>
      <c r="Q473" s="17">
        <v>150</v>
      </c>
      <c r="R473" s="16">
        <f>1000/Q473</f>
        <v>6.666666666666667</v>
      </c>
      <c r="S473" s="16">
        <f>8.33*R473</f>
        <v>55.533333333333339</v>
      </c>
      <c r="T473" s="16">
        <f>S473*1.33</f>
        <v>73.859333333333339</v>
      </c>
      <c r="U473" s="1">
        <v>450</v>
      </c>
      <c r="V473" s="9">
        <v>450</v>
      </c>
      <c r="W473" s="8">
        <f>1000/V473</f>
        <v>2.2222222222222223</v>
      </c>
      <c r="X473" s="8">
        <f>8.33*W473</f>
        <v>18.511111111111113</v>
      </c>
      <c r="Y473" s="1">
        <v>78</v>
      </c>
      <c r="Z473" s="9">
        <v>78</v>
      </c>
      <c r="AA473" s="8">
        <f>1000/Z473</f>
        <v>12.820512820512821</v>
      </c>
      <c r="AB473" s="8">
        <f>8.33*AA473</f>
        <v>106.7948717948718</v>
      </c>
      <c r="AC473" s="1" t="s">
        <v>1023</v>
      </c>
      <c r="AD473" s="21">
        <v>33</v>
      </c>
      <c r="AE473" s="22">
        <f>1000/AD473</f>
        <v>30.303030303030305</v>
      </c>
      <c r="AF473" s="22">
        <f>8.33*AE473</f>
        <v>252.42424242424244</v>
      </c>
    </row>
    <row r="474" spans="1:36" x14ac:dyDescent="0.2">
      <c r="A474">
        <v>-190</v>
      </c>
      <c r="B474" s="10" t="s">
        <v>130</v>
      </c>
      <c r="D474" s="15" t="s">
        <v>1024</v>
      </c>
      <c r="E474" s="13">
        <v>23</v>
      </c>
      <c r="F474" s="13">
        <v>6</v>
      </c>
      <c r="G474" s="13">
        <f t="shared" si="23"/>
        <v>151</v>
      </c>
      <c r="H474" s="13">
        <v>191</v>
      </c>
      <c r="I474" s="14">
        <f t="shared" si="24"/>
        <v>-190.52328767123288</v>
      </c>
      <c r="J474" s="15" t="s">
        <v>1025</v>
      </c>
      <c r="K474" s="2" t="s">
        <v>501</v>
      </c>
      <c r="L474" s="22">
        <v>180</v>
      </c>
      <c r="M474" s="22">
        <f>1000/L474</f>
        <v>5.5555555555555554</v>
      </c>
      <c r="N474" s="22">
        <f>8.33*M474</f>
        <v>46.277777777777779</v>
      </c>
      <c r="O474" s="22">
        <f>1.613*N474</f>
        <v>74.646055555555563</v>
      </c>
      <c r="T474" s="8"/>
      <c r="W474" s="8"/>
      <c r="X474" s="8"/>
      <c r="AA474" s="8"/>
      <c r="AB474" s="8"/>
      <c r="AC474">
        <v>30</v>
      </c>
      <c r="AD474" s="9">
        <v>30</v>
      </c>
      <c r="AE474" s="8">
        <f>1000/AD474</f>
        <v>33.333333333333336</v>
      </c>
      <c r="AF474" s="8">
        <f>8.33*AE474</f>
        <v>277.66666666666669</v>
      </c>
      <c r="AG474" t="s">
        <v>41</v>
      </c>
    </row>
    <row r="475" spans="1:36" x14ac:dyDescent="0.2">
      <c r="A475">
        <v>-190</v>
      </c>
      <c r="B475" s="10" t="s">
        <v>285</v>
      </c>
      <c r="D475" s="15" t="s">
        <v>1026</v>
      </c>
      <c r="E475" s="13">
        <v>23</v>
      </c>
      <c r="F475" s="13">
        <v>7</v>
      </c>
      <c r="G475" s="13">
        <f t="shared" si="23"/>
        <v>181</v>
      </c>
      <c r="H475" s="13">
        <v>191</v>
      </c>
      <c r="I475" s="14">
        <f t="shared" si="24"/>
        <v>-190.44109589041096</v>
      </c>
      <c r="J475" s="15" t="s">
        <v>1027</v>
      </c>
      <c r="P475" s="1">
        <v>150</v>
      </c>
      <c r="Q475" s="9">
        <v>150</v>
      </c>
      <c r="R475" s="8">
        <f>1000/Q475</f>
        <v>6.666666666666667</v>
      </c>
      <c r="S475" s="8">
        <f>8.33*R475</f>
        <v>55.533333333333339</v>
      </c>
      <c r="T475" s="8">
        <f>S475*1.33</f>
        <v>73.859333333333339</v>
      </c>
      <c r="U475" s="1">
        <v>450</v>
      </c>
      <c r="V475" s="9">
        <v>450</v>
      </c>
      <c r="W475" s="8">
        <f>1000/V475</f>
        <v>2.2222222222222223</v>
      </c>
      <c r="X475" s="8">
        <f>8.33*W475</f>
        <v>18.511111111111113</v>
      </c>
      <c r="Y475" s="1">
        <v>60</v>
      </c>
      <c r="Z475" s="9">
        <v>60</v>
      </c>
      <c r="AA475" s="8">
        <f>1000/Z475</f>
        <v>16.666666666666668</v>
      </c>
      <c r="AB475" s="8">
        <f>8.33*AA475</f>
        <v>138.83333333333334</v>
      </c>
      <c r="AC475" t="s">
        <v>41</v>
      </c>
    </row>
    <row r="476" spans="1:36" x14ac:dyDescent="0.2">
      <c r="A476">
        <v>-190</v>
      </c>
      <c r="B476" s="10" t="s">
        <v>127</v>
      </c>
      <c r="D476" s="15" t="s">
        <v>1028</v>
      </c>
      <c r="E476" s="13">
        <v>15</v>
      </c>
      <c r="F476" s="13">
        <v>2</v>
      </c>
      <c r="G476" s="13">
        <f t="shared" si="23"/>
        <v>31</v>
      </c>
      <c r="H476" s="13">
        <v>190</v>
      </c>
      <c r="I476" s="14">
        <f t="shared" si="24"/>
        <v>-189.87397260273971</v>
      </c>
      <c r="J476" s="15" t="s">
        <v>1029</v>
      </c>
      <c r="R476" s="8"/>
      <c r="S476" s="8"/>
      <c r="T476" s="8"/>
      <c r="W476" s="8"/>
      <c r="X476" s="8"/>
      <c r="Y476" s="1">
        <v>54</v>
      </c>
      <c r="Z476" s="9">
        <v>54</v>
      </c>
      <c r="AA476" s="8">
        <f>1000/Z476</f>
        <v>18.518518518518519</v>
      </c>
      <c r="AB476" s="8">
        <f>8.33*AA476</f>
        <v>154.25925925925927</v>
      </c>
      <c r="AC476" t="s">
        <v>1030</v>
      </c>
    </row>
    <row r="477" spans="1:36" x14ac:dyDescent="0.2">
      <c r="A477">
        <v>-189</v>
      </c>
      <c r="B477" s="10" t="s">
        <v>47</v>
      </c>
      <c r="D477" s="15" t="s">
        <v>1031</v>
      </c>
      <c r="E477" s="13">
        <v>14</v>
      </c>
      <c r="F477" s="13">
        <v>5</v>
      </c>
      <c r="G477" s="13">
        <f t="shared" si="23"/>
        <v>120</v>
      </c>
      <c r="H477" s="13">
        <v>190</v>
      </c>
      <c r="I477" s="14">
        <f t="shared" si="24"/>
        <v>-189.63287671232877</v>
      </c>
      <c r="J477" s="15" t="s">
        <v>1032</v>
      </c>
      <c r="K477" s="2">
        <v>288</v>
      </c>
      <c r="L477" s="8">
        <v>288</v>
      </c>
      <c r="M477" s="8">
        <f>1000/L477</f>
        <v>3.4722222222222223</v>
      </c>
      <c r="N477" s="8">
        <f>8.33*M477</f>
        <v>28.923611111111111</v>
      </c>
      <c r="O477" s="8">
        <f>1.613*N477</f>
        <v>46.65378472222222</v>
      </c>
      <c r="P477" t="s">
        <v>41</v>
      </c>
      <c r="R477" s="8"/>
      <c r="S477" s="8"/>
      <c r="T477" s="8"/>
      <c r="W477" s="8"/>
      <c r="X477" s="8"/>
      <c r="AA477" s="8"/>
      <c r="AB477" s="8"/>
    </row>
    <row r="478" spans="1:36" x14ac:dyDescent="0.2">
      <c r="A478">
        <v>-189</v>
      </c>
      <c r="B478" s="10" t="s">
        <v>91</v>
      </c>
      <c r="D478" s="15" t="s">
        <v>1033</v>
      </c>
      <c r="E478" s="13">
        <v>10</v>
      </c>
      <c r="F478" s="13">
        <v>10</v>
      </c>
      <c r="G478" s="13">
        <f t="shared" si="23"/>
        <v>273</v>
      </c>
      <c r="H478" s="13">
        <v>190</v>
      </c>
      <c r="I478" s="14">
        <f t="shared" si="24"/>
        <v>-189.22465753424657</v>
      </c>
      <c r="J478" s="15" t="s">
        <v>1034</v>
      </c>
      <c r="K478" s="10">
        <v>270</v>
      </c>
      <c r="L478" s="16">
        <v>270</v>
      </c>
      <c r="M478" s="16">
        <f>1000/L478</f>
        <v>3.7037037037037037</v>
      </c>
      <c r="N478" s="16">
        <f>8.33*M478</f>
        <v>30.851851851851851</v>
      </c>
      <c r="O478" s="16">
        <f>1.613*N478</f>
        <v>49.764037037037035</v>
      </c>
      <c r="R478" s="8"/>
      <c r="S478" s="8"/>
      <c r="T478" s="8"/>
      <c r="W478" s="8"/>
      <c r="X478" s="8"/>
      <c r="AA478" s="8"/>
      <c r="AB478" s="8"/>
    </row>
    <row r="479" spans="1:36" x14ac:dyDescent="0.2">
      <c r="A479">
        <v>-187</v>
      </c>
      <c r="B479" s="10" t="s">
        <v>91</v>
      </c>
      <c r="D479" s="15" t="s">
        <v>1035</v>
      </c>
      <c r="E479" s="13">
        <v>17</v>
      </c>
      <c r="F479" s="13">
        <v>10</v>
      </c>
      <c r="G479" s="13">
        <f t="shared" si="23"/>
        <v>273</v>
      </c>
      <c r="H479" s="13">
        <v>188</v>
      </c>
      <c r="I479" s="14">
        <f t="shared" si="24"/>
        <v>-187.20547945205479</v>
      </c>
      <c r="J479" s="15" t="s">
        <v>1036</v>
      </c>
      <c r="K479" s="2">
        <v>390</v>
      </c>
      <c r="L479" s="8">
        <v>390</v>
      </c>
      <c r="M479" s="8">
        <f>1000/L479</f>
        <v>2.5641025641025643</v>
      </c>
      <c r="N479" s="8">
        <f>8.33*M479</f>
        <v>21.358974358974361</v>
      </c>
      <c r="O479" s="8">
        <f>1.613*N479</f>
        <v>34.452025641025642</v>
      </c>
      <c r="P479" s="1">
        <v>570</v>
      </c>
      <c r="Q479" s="9">
        <v>570</v>
      </c>
      <c r="R479" s="8">
        <f>1000/Q479</f>
        <v>1.7543859649122806</v>
      </c>
      <c r="S479" s="8">
        <f>8.33*R479</f>
        <v>14.614035087719298</v>
      </c>
      <c r="T479" s="8">
        <f>S479*1.33</f>
        <v>19.436666666666667</v>
      </c>
      <c r="U479" s="1">
        <v>900</v>
      </c>
      <c r="V479" s="9">
        <v>900</v>
      </c>
      <c r="W479" s="8">
        <f>1000/V479</f>
        <v>1.1111111111111112</v>
      </c>
      <c r="X479" s="8">
        <f>8.33*W479</f>
        <v>9.2555555555555564</v>
      </c>
      <c r="Y479" s="1">
        <v>120</v>
      </c>
      <c r="Z479" s="9">
        <v>120</v>
      </c>
      <c r="AA479" s="8">
        <f>1000/Z479</f>
        <v>8.3333333333333339</v>
      </c>
      <c r="AB479" s="8">
        <f>8.33*AA479</f>
        <v>69.416666666666671</v>
      </c>
      <c r="AC479" s="1" t="s">
        <v>1037</v>
      </c>
      <c r="AD479" s="9">
        <v>66</v>
      </c>
      <c r="AE479" s="8">
        <f>1000/AD479</f>
        <v>15.151515151515152</v>
      </c>
      <c r="AF479" s="8">
        <f>8.33*AE479</f>
        <v>126.21212121212122</v>
      </c>
    </row>
    <row r="480" spans="1:36" x14ac:dyDescent="0.2">
      <c r="A480">
        <v>-187</v>
      </c>
      <c r="B480" s="10" t="s">
        <v>127</v>
      </c>
      <c r="D480" s="15" t="s">
        <v>1038</v>
      </c>
      <c r="E480" s="13">
        <v>13</v>
      </c>
      <c r="F480" s="13">
        <v>3</v>
      </c>
      <c r="G480" s="13">
        <f t="shared" si="23"/>
        <v>59</v>
      </c>
      <c r="H480" s="13">
        <v>187</v>
      </c>
      <c r="I480" s="14">
        <f t="shared" si="24"/>
        <v>-186.8027397260274</v>
      </c>
      <c r="J480" s="15" t="s">
        <v>1039</v>
      </c>
      <c r="T480" s="8"/>
      <c r="U480" t="s">
        <v>182</v>
      </c>
      <c r="V480" s="20">
        <v>900</v>
      </c>
      <c r="W480" s="19">
        <f>1000/V480</f>
        <v>1.1111111111111112</v>
      </c>
      <c r="X480" s="19">
        <f>8.33*W480</f>
        <v>9.2555555555555564</v>
      </c>
      <c r="Y480" s="1">
        <v>108</v>
      </c>
      <c r="Z480" s="9">
        <v>108</v>
      </c>
      <c r="AA480" s="8">
        <f>1000/Z480</f>
        <v>9.2592592592592595</v>
      </c>
      <c r="AB480" s="8">
        <f>8.33*AA480</f>
        <v>77.129629629629633</v>
      </c>
      <c r="AC480" t="s">
        <v>41</v>
      </c>
      <c r="AG480" s="1">
        <v>5</v>
      </c>
      <c r="AH480" s="9">
        <v>5</v>
      </c>
      <c r="AI480" s="8">
        <f>1/AH480</f>
        <v>0.2</v>
      </c>
      <c r="AJ480" s="8">
        <f>8.33*AI480</f>
        <v>1.6660000000000001</v>
      </c>
    </row>
    <row r="481" spans="1:36" x14ac:dyDescent="0.2">
      <c r="A481">
        <v>-186</v>
      </c>
      <c r="B481" s="10" t="s">
        <v>36</v>
      </c>
      <c r="D481" s="15" t="s">
        <v>1040</v>
      </c>
      <c r="E481" s="13">
        <v>4</v>
      </c>
      <c r="F481" s="13">
        <v>12</v>
      </c>
      <c r="G481" s="13">
        <f t="shared" si="23"/>
        <v>334</v>
      </c>
      <c r="H481" s="13">
        <v>187</v>
      </c>
      <c r="I481" s="14">
        <f t="shared" si="24"/>
        <v>-186.07397260273973</v>
      </c>
      <c r="J481" s="15" t="s">
        <v>1041</v>
      </c>
      <c r="T481" s="8"/>
      <c r="AC481" s="1" t="s">
        <v>1042</v>
      </c>
      <c r="AD481" s="21">
        <v>24</v>
      </c>
      <c r="AE481" s="22">
        <f>1000/AD481</f>
        <v>41.666666666666664</v>
      </c>
      <c r="AF481" s="22">
        <f>8.33*AE481</f>
        <v>347.08333333333331</v>
      </c>
      <c r="AG481" t="s">
        <v>41</v>
      </c>
    </row>
    <row r="482" spans="1:36" x14ac:dyDescent="0.2">
      <c r="A482">
        <v>-186</v>
      </c>
      <c r="B482" s="10" t="s">
        <v>75</v>
      </c>
      <c r="D482" s="15" t="s">
        <v>1043</v>
      </c>
      <c r="E482" s="13">
        <v>2</v>
      </c>
      <c r="F482" s="13">
        <v>1</v>
      </c>
      <c r="G482" s="13">
        <f t="shared" si="23"/>
        <v>0</v>
      </c>
      <c r="H482" s="13">
        <v>186</v>
      </c>
      <c r="I482" s="14">
        <f t="shared" si="24"/>
        <v>-185.9945205479452</v>
      </c>
      <c r="J482" s="15" t="s">
        <v>1044</v>
      </c>
      <c r="T482" s="8"/>
      <c r="U482" s="1" t="s">
        <v>1045</v>
      </c>
      <c r="V482" s="9">
        <v>450</v>
      </c>
      <c r="W482" s="8">
        <f>1000/V482</f>
        <v>2.2222222222222223</v>
      </c>
      <c r="X482" s="8">
        <f>8.33*W482</f>
        <v>18.511111111111113</v>
      </c>
      <c r="Y482" s="1" t="s">
        <v>208</v>
      </c>
      <c r="Z482" s="21">
        <v>60</v>
      </c>
      <c r="AA482" s="8">
        <f>1000/Z482</f>
        <v>16.666666666666668</v>
      </c>
      <c r="AB482" s="8">
        <f>8.33*AA482</f>
        <v>138.83333333333334</v>
      </c>
      <c r="AC482" s="1"/>
      <c r="AD482" s="21"/>
    </row>
    <row r="483" spans="1:36" x14ac:dyDescent="0.2">
      <c r="A483">
        <v>-186</v>
      </c>
      <c r="B483" s="10" t="s">
        <v>75</v>
      </c>
      <c r="C483" s="11" t="s">
        <v>39</v>
      </c>
      <c r="D483" s="15" t="s">
        <v>1043</v>
      </c>
      <c r="E483" s="13">
        <v>2</v>
      </c>
      <c r="F483" s="13">
        <v>1</v>
      </c>
      <c r="G483" s="13">
        <f t="shared" si="23"/>
        <v>0</v>
      </c>
      <c r="H483" s="13">
        <v>186</v>
      </c>
      <c r="I483" s="14">
        <f t="shared" si="24"/>
        <v>-185.9945205479452</v>
      </c>
      <c r="J483" s="15" t="s">
        <v>1046</v>
      </c>
      <c r="T483" s="8"/>
      <c r="Z483" s="20"/>
    </row>
    <row r="484" spans="1:36" x14ac:dyDescent="0.2">
      <c r="A484">
        <v>-186</v>
      </c>
      <c r="B484" s="10" t="s">
        <v>75</v>
      </c>
      <c r="C484" s="11" t="s">
        <v>42</v>
      </c>
      <c r="D484" s="15" t="s">
        <v>1047</v>
      </c>
      <c r="E484" s="13">
        <v>12</v>
      </c>
      <c r="F484" s="13">
        <v>1</v>
      </c>
      <c r="G484" s="13">
        <f t="shared" si="23"/>
        <v>0</v>
      </c>
      <c r="H484" s="13">
        <v>186</v>
      </c>
      <c r="I484" s="14">
        <f t="shared" si="24"/>
        <v>-185.96712328767123</v>
      </c>
      <c r="J484" s="15" t="s">
        <v>1048</v>
      </c>
      <c r="T484" s="8"/>
    </row>
    <row r="485" spans="1:36" x14ac:dyDescent="0.2">
      <c r="A485">
        <v>-186</v>
      </c>
      <c r="B485" s="10" t="s">
        <v>75</v>
      </c>
      <c r="C485" s="11" t="s">
        <v>45</v>
      </c>
      <c r="D485" s="15" t="s">
        <v>1049</v>
      </c>
      <c r="E485" s="13">
        <v>22</v>
      </c>
      <c r="F485" s="13">
        <v>1</v>
      </c>
      <c r="G485" s="13">
        <f t="shared" si="23"/>
        <v>0</v>
      </c>
      <c r="H485" s="13">
        <v>186</v>
      </c>
      <c r="I485" s="14">
        <f t="shared" si="24"/>
        <v>-185.93972602739726</v>
      </c>
      <c r="J485" s="15" t="s">
        <v>1044</v>
      </c>
      <c r="P485">
        <v>360</v>
      </c>
      <c r="Q485" s="17">
        <v>360</v>
      </c>
      <c r="R485" s="16">
        <f>1000/Q485</f>
        <v>2.7777777777777777</v>
      </c>
      <c r="S485" s="16">
        <f>8.33*R485</f>
        <v>23.138888888888889</v>
      </c>
      <c r="T485" s="16">
        <f>S485*1.33</f>
        <v>30.774722222222223</v>
      </c>
    </row>
    <row r="486" spans="1:36" x14ac:dyDescent="0.2">
      <c r="A486">
        <v>-186</v>
      </c>
      <c r="B486" s="10" t="s">
        <v>83</v>
      </c>
      <c r="D486" s="15" t="s">
        <v>1050</v>
      </c>
      <c r="E486" s="13">
        <v>1</v>
      </c>
      <c r="F486" s="13">
        <v>2</v>
      </c>
      <c r="G486" s="13">
        <f t="shared" si="23"/>
        <v>31</v>
      </c>
      <c r="H486" s="13">
        <v>186</v>
      </c>
      <c r="I486" s="14">
        <f t="shared" si="24"/>
        <v>-185.91232876712328</v>
      </c>
      <c r="J486" s="15" t="s">
        <v>1051</v>
      </c>
      <c r="K486" s="2">
        <v>156</v>
      </c>
      <c r="L486" s="8">
        <v>156</v>
      </c>
      <c r="M486" s="8">
        <f>1000/L486</f>
        <v>6.4102564102564106</v>
      </c>
      <c r="N486" s="8">
        <f>8.33*M486</f>
        <v>53.397435897435898</v>
      </c>
      <c r="O486" s="8">
        <f>1.613*N486</f>
        <v>86.130064102564106</v>
      </c>
      <c r="P486" s="1">
        <v>360</v>
      </c>
      <c r="Q486" s="9">
        <v>360</v>
      </c>
      <c r="R486" s="8">
        <f>1000/Q486</f>
        <v>2.7777777777777777</v>
      </c>
      <c r="S486" s="8">
        <f>8.33*R486</f>
        <v>23.138888888888889</v>
      </c>
      <c r="T486" s="8">
        <f>S486*1.33</f>
        <v>30.774722222222223</v>
      </c>
      <c r="U486" s="1">
        <v>360</v>
      </c>
      <c r="V486" s="9">
        <v>360</v>
      </c>
      <c r="W486" s="8">
        <f>1000/V486</f>
        <v>2.7777777777777777</v>
      </c>
      <c r="X486" s="8">
        <f>8.33*W486</f>
        <v>23.138888888888889</v>
      </c>
      <c r="Y486" s="1">
        <v>60</v>
      </c>
      <c r="Z486" s="9">
        <v>60</v>
      </c>
      <c r="AA486" s="8">
        <f>1000/Z486</f>
        <v>16.666666666666668</v>
      </c>
      <c r="AB486" s="8">
        <f>8.33*AA486</f>
        <v>138.83333333333334</v>
      </c>
      <c r="AC486" s="1">
        <v>27</v>
      </c>
      <c r="AD486" s="9">
        <v>27</v>
      </c>
      <c r="AE486" s="8">
        <f>1000/AD486</f>
        <v>37.037037037037038</v>
      </c>
      <c r="AF486" s="8">
        <f>8.33*AE486</f>
        <v>308.51851851851853</v>
      </c>
      <c r="AG486" s="1">
        <v>5</v>
      </c>
      <c r="AH486" s="9">
        <v>5</v>
      </c>
      <c r="AI486" s="8">
        <f>1/AH486</f>
        <v>0.2</v>
      </c>
      <c r="AJ486" s="8">
        <f>8.33*AI486</f>
        <v>1.6660000000000001</v>
      </c>
    </row>
    <row r="487" spans="1:36" x14ac:dyDescent="0.2">
      <c r="A487">
        <v>-186</v>
      </c>
      <c r="B487" s="10" t="s">
        <v>127</v>
      </c>
      <c r="C487" s="11" t="s">
        <v>39</v>
      </c>
      <c r="D487" s="15" t="s">
        <v>1052</v>
      </c>
      <c r="E487" s="13">
        <v>3</v>
      </c>
      <c r="F487" s="13">
        <v>3</v>
      </c>
      <c r="G487" s="13">
        <f t="shared" si="23"/>
        <v>59</v>
      </c>
      <c r="H487" s="13">
        <v>186</v>
      </c>
      <c r="I487" s="14">
        <f t="shared" si="24"/>
        <v>-185.83013698630137</v>
      </c>
      <c r="J487" s="15" t="s">
        <v>1053</v>
      </c>
      <c r="P487">
        <v>330</v>
      </c>
      <c r="Q487" s="17">
        <v>330</v>
      </c>
      <c r="R487" s="16">
        <f>1000/Q487</f>
        <v>3.0303030303030303</v>
      </c>
      <c r="S487" s="16">
        <f>8.33*R487</f>
        <v>25.242424242424242</v>
      </c>
      <c r="T487" s="16">
        <f>S487*1.33</f>
        <v>33.572424242424241</v>
      </c>
      <c r="W487" s="8"/>
      <c r="X487" s="8"/>
      <c r="Y487" s="1"/>
      <c r="Z487" s="9"/>
      <c r="AA487" s="8"/>
      <c r="AB487" s="8"/>
      <c r="AC487" s="1"/>
      <c r="AD487" s="9"/>
      <c r="AE487" s="8"/>
      <c r="AF487" s="8"/>
    </row>
    <row r="488" spans="1:36" x14ac:dyDescent="0.2">
      <c r="A488">
        <v>-186</v>
      </c>
      <c r="B488" s="10" t="s">
        <v>127</v>
      </c>
      <c r="C488" s="11" t="s">
        <v>42</v>
      </c>
      <c r="D488" s="15" t="s">
        <v>1054</v>
      </c>
      <c r="E488" s="13">
        <v>13</v>
      </c>
      <c r="F488" s="13">
        <v>3</v>
      </c>
      <c r="G488" s="13">
        <f t="shared" si="23"/>
        <v>59</v>
      </c>
      <c r="H488" s="13">
        <v>186</v>
      </c>
      <c r="I488" s="14">
        <f t="shared" si="24"/>
        <v>-185.8027397260274</v>
      </c>
      <c r="J488" s="15" t="s">
        <v>1055</v>
      </c>
      <c r="T488" s="8"/>
      <c r="W488" s="8"/>
      <c r="X488" s="8"/>
      <c r="Y488" s="1"/>
      <c r="Z488" s="9"/>
      <c r="AA488" s="8"/>
      <c r="AB488" s="8"/>
      <c r="AC488" s="1"/>
      <c r="AD488" s="9"/>
      <c r="AE488" s="8"/>
      <c r="AF488" s="8"/>
    </row>
    <row r="489" spans="1:36" x14ac:dyDescent="0.2">
      <c r="A489">
        <v>-186</v>
      </c>
      <c r="B489" s="10" t="s">
        <v>127</v>
      </c>
      <c r="C489" s="11" t="s">
        <v>45</v>
      </c>
      <c r="D489" s="15" t="s">
        <v>1056</v>
      </c>
      <c r="E489" s="13">
        <v>23</v>
      </c>
      <c r="F489" s="13">
        <v>3</v>
      </c>
      <c r="G489" s="13">
        <f t="shared" si="23"/>
        <v>59</v>
      </c>
      <c r="H489" s="13">
        <v>186</v>
      </c>
      <c r="I489" s="14">
        <f t="shared" si="24"/>
        <v>-185.77534246575343</v>
      </c>
      <c r="J489" s="15" t="s">
        <v>1057</v>
      </c>
      <c r="K489" s="10">
        <v>120</v>
      </c>
      <c r="L489" s="16">
        <v>120</v>
      </c>
      <c r="M489" s="16">
        <f>1000/L489</f>
        <v>8.3333333333333339</v>
      </c>
      <c r="N489" s="16">
        <f>8.33*M489</f>
        <v>69.416666666666671</v>
      </c>
      <c r="O489" s="16">
        <f>1.613*N489</f>
        <v>111.96908333333334</v>
      </c>
      <c r="T489" s="8"/>
      <c r="W489" s="8"/>
      <c r="X489" s="8"/>
      <c r="Y489" s="1"/>
      <c r="Z489" s="9"/>
      <c r="AA489" s="8"/>
      <c r="AB489" s="8"/>
      <c r="AC489" s="1"/>
      <c r="AD489" s="9"/>
      <c r="AE489" s="8"/>
      <c r="AF489" s="8"/>
    </row>
    <row r="490" spans="1:36" x14ac:dyDescent="0.2">
      <c r="A490">
        <v>-185</v>
      </c>
      <c r="B490" s="10" t="s">
        <v>127</v>
      </c>
      <c r="D490" s="15" t="s">
        <v>1058</v>
      </c>
      <c r="E490" s="13">
        <v>20</v>
      </c>
      <c r="F490" s="13">
        <v>2</v>
      </c>
      <c r="G490" s="13">
        <f t="shared" si="23"/>
        <v>31</v>
      </c>
      <c r="H490" s="13">
        <v>185</v>
      </c>
      <c r="I490" s="14">
        <f t="shared" si="24"/>
        <v>-184.86027397260273</v>
      </c>
      <c r="J490" s="15" t="s">
        <v>1059</v>
      </c>
      <c r="K490" s="2">
        <v>84</v>
      </c>
      <c r="L490" s="8">
        <v>84</v>
      </c>
      <c r="M490" s="8">
        <f>1000/L490</f>
        <v>11.904761904761905</v>
      </c>
      <c r="N490" s="8">
        <f>8.33*M490</f>
        <v>99.166666666666671</v>
      </c>
      <c r="O490" s="8">
        <f>1.613*N490</f>
        <v>159.95583333333335</v>
      </c>
      <c r="P490" s="1">
        <v>162</v>
      </c>
      <c r="Q490" s="9">
        <v>162</v>
      </c>
      <c r="R490" s="8">
        <f>1000/Q490</f>
        <v>6.1728395061728394</v>
      </c>
      <c r="S490" s="8">
        <f>8.33*R490</f>
        <v>51.419753086419753</v>
      </c>
      <c r="T490" s="8">
        <f>S490*1.33</f>
        <v>68.388271604938282</v>
      </c>
      <c r="U490" t="s">
        <v>41</v>
      </c>
      <c r="W490" s="8"/>
      <c r="X490" s="8"/>
      <c r="Y490" s="1">
        <v>48</v>
      </c>
      <c r="Z490" s="9">
        <v>48</v>
      </c>
      <c r="AA490" s="8">
        <f>1000/Z490</f>
        <v>20.833333333333332</v>
      </c>
      <c r="AB490" s="8">
        <f>8.33*AA490</f>
        <v>173.54166666666666</v>
      </c>
      <c r="AC490" s="1">
        <v>24</v>
      </c>
      <c r="AD490" s="9">
        <v>24</v>
      </c>
      <c r="AE490" s="8">
        <f>1000/AD490</f>
        <v>41.666666666666664</v>
      </c>
      <c r="AF490" s="8">
        <f>8.33*AE490</f>
        <v>347.08333333333331</v>
      </c>
      <c r="AG490" s="1">
        <v>4</v>
      </c>
      <c r="AH490" s="9">
        <v>4</v>
      </c>
      <c r="AI490" s="8">
        <f>1/AH490</f>
        <v>0.25</v>
      </c>
      <c r="AJ490" s="8">
        <f>8.33*AI490</f>
        <v>2.0825</v>
      </c>
    </row>
    <row r="491" spans="1:36" x14ac:dyDescent="0.2">
      <c r="A491">
        <v>-183</v>
      </c>
      <c r="B491" s="10" t="s">
        <v>47</v>
      </c>
      <c r="D491" s="15" t="s">
        <v>1060</v>
      </c>
      <c r="E491" s="13">
        <v>8</v>
      </c>
      <c r="F491" s="13">
        <v>5</v>
      </c>
      <c r="G491" s="13">
        <f t="shared" si="23"/>
        <v>120</v>
      </c>
      <c r="H491" s="13">
        <v>184</v>
      </c>
      <c r="I491" s="14">
        <f t="shared" si="24"/>
        <v>-183.64931506849314</v>
      </c>
      <c r="J491" s="15" t="s">
        <v>1061</v>
      </c>
      <c r="K491" s="10">
        <v>132</v>
      </c>
      <c r="L491" s="16">
        <v>132</v>
      </c>
      <c r="M491" s="16">
        <f>1000/L491</f>
        <v>7.5757575757575761</v>
      </c>
      <c r="N491" s="16">
        <f>8.33*M491</f>
        <v>63.106060606060609</v>
      </c>
      <c r="O491" s="16">
        <f>1.613*N491</f>
        <v>101.79007575757576</v>
      </c>
      <c r="P491" t="s">
        <v>41</v>
      </c>
      <c r="R491" s="8"/>
      <c r="S491" s="8"/>
      <c r="T491" s="8"/>
      <c r="W491" s="8"/>
      <c r="X491" s="8"/>
      <c r="Y491" s="1"/>
      <c r="Z491" s="9"/>
      <c r="AA491" s="8"/>
      <c r="AB491" s="8"/>
      <c r="AC491" s="1"/>
      <c r="AD491" s="9"/>
      <c r="AE491" s="8"/>
      <c r="AF491" s="8"/>
      <c r="AG491" s="1">
        <v>4</v>
      </c>
      <c r="AH491" s="9">
        <v>4</v>
      </c>
      <c r="AI491" s="8">
        <f>1/AH491</f>
        <v>0.25</v>
      </c>
      <c r="AJ491" s="8">
        <f>8.33*AI491</f>
        <v>2.0825</v>
      </c>
    </row>
    <row r="492" spans="1:36" x14ac:dyDescent="0.2">
      <c r="A492">
        <v>-183</v>
      </c>
      <c r="B492" s="10" t="s">
        <v>65</v>
      </c>
      <c r="D492" s="15" t="s">
        <v>1062</v>
      </c>
      <c r="E492" s="13">
        <v>7</v>
      </c>
      <c r="F492" s="13">
        <v>6</v>
      </c>
      <c r="G492" s="13">
        <f t="shared" si="23"/>
        <v>151</v>
      </c>
      <c r="H492" s="13">
        <v>184</v>
      </c>
      <c r="I492" s="14">
        <f t="shared" si="24"/>
        <v>-183.56712328767122</v>
      </c>
      <c r="J492" s="15" t="s">
        <v>1063</v>
      </c>
      <c r="P492" s="1">
        <v>150</v>
      </c>
      <c r="Q492" s="9">
        <v>150</v>
      </c>
      <c r="R492" s="8">
        <f>1000/Q492</f>
        <v>6.666666666666667</v>
      </c>
      <c r="S492" s="8">
        <f>8.33*R492</f>
        <v>55.533333333333339</v>
      </c>
      <c r="T492" s="8">
        <f>S492*1.33</f>
        <v>73.859333333333339</v>
      </c>
      <c r="U492" s="1">
        <v>540</v>
      </c>
      <c r="V492" s="9">
        <v>540</v>
      </c>
      <c r="W492" s="8">
        <f>1000/V492</f>
        <v>1.8518518518518519</v>
      </c>
      <c r="X492" s="8">
        <f>8.33*W492</f>
        <v>15.425925925925926</v>
      </c>
      <c r="Y492" s="1" t="s">
        <v>208</v>
      </c>
      <c r="Z492" s="21"/>
      <c r="AA492" s="8"/>
      <c r="AB492" s="8"/>
      <c r="AC492" s="1"/>
      <c r="AD492" s="9"/>
      <c r="AE492" s="8"/>
      <c r="AF492" s="8"/>
      <c r="AG492" s="1"/>
      <c r="AH492" s="9"/>
    </row>
    <row r="493" spans="1:36" x14ac:dyDescent="0.2">
      <c r="A493">
        <v>-183</v>
      </c>
      <c r="B493" s="10" t="s">
        <v>65</v>
      </c>
      <c r="C493" s="11" t="s">
        <v>39</v>
      </c>
      <c r="D493" s="15" t="s">
        <v>1062</v>
      </c>
      <c r="E493" s="13">
        <v>7</v>
      </c>
      <c r="F493" s="13">
        <v>6</v>
      </c>
      <c r="G493" s="13">
        <f t="shared" si="23"/>
        <v>151</v>
      </c>
      <c r="H493" s="13">
        <v>184</v>
      </c>
      <c r="I493" s="14">
        <f t="shared" si="24"/>
        <v>-183.56712328767122</v>
      </c>
      <c r="J493" s="15" t="s">
        <v>1064</v>
      </c>
      <c r="T493" s="8"/>
      <c r="Z493" s="20"/>
    </row>
    <row r="494" spans="1:36" x14ac:dyDescent="0.2">
      <c r="A494">
        <v>-183</v>
      </c>
      <c r="B494" s="10" t="s">
        <v>65</v>
      </c>
      <c r="C494" s="11" t="s">
        <v>42</v>
      </c>
      <c r="D494" s="15" t="s">
        <v>1065</v>
      </c>
      <c r="E494" s="13">
        <v>17</v>
      </c>
      <c r="F494" s="13">
        <v>6</v>
      </c>
      <c r="G494" s="13">
        <f t="shared" si="23"/>
        <v>151</v>
      </c>
      <c r="H494" s="13">
        <v>184</v>
      </c>
      <c r="I494" s="14">
        <f t="shared" si="24"/>
        <v>-183.53972602739725</v>
      </c>
      <c r="J494" s="15" t="s">
        <v>1066</v>
      </c>
      <c r="K494" s="10" t="s">
        <v>41</v>
      </c>
      <c r="T494" s="8"/>
    </row>
    <row r="495" spans="1:36" x14ac:dyDescent="0.2">
      <c r="A495">
        <v>-183</v>
      </c>
      <c r="B495" s="10" t="s">
        <v>65</v>
      </c>
      <c r="C495" s="11" t="s">
        <v>45</v>
      </c>
      <c r="D495" s="15" t="s">
        <v>1067</v>
      </c>
      <c r="E495" s="13">
        <v>27</v>
      </c>
      <c r="F495" s="13">
        <v>6</v>
      </c>
      <c r="G495" s="13">
        <f t="shared" si="23"/>
        <v>151</v>
      </c>
      <c r="H495" s="13">
        <v>184</v>
      </c>
      <c r="I495" s="14">
        <f t="shared" si="24"/>
        <v>-183.51232876712328</v>
      </c>
      <c r="J495" s="15" t="s">
        <v>1063</v>
      </c>
      <c r="K495" s="10">
        <v>108</v>
      </c>
      <c r="L495" s="16">
        <v>108</v>
      </c>
      <c r="M495" s="16">
        <f>1000/L495</f>
        <v>9.2592592592592595</v>
      </c>
      <c r="N495" s="16">
        <f>8.33*M495</f>
        <v>77.129629629629633</v>
      </c>
      <c r="O495" s="16">
        <f>1.613*N495</f>
        <v>124.41009259259259</v>
      </c>
      <c r="T495" s="8"/>
    </row>
    <row r="496" spans="1:36" x14ac:dyDescent="0.2">
      <c r="A496">
        <v>-183</v>
      </c>
      <c r="B496" s="10" t="s">
        <v>130</v>
      </c>
      <c r="D496" s="15" t="s">
        <v>1068</v>
      </c>
      <c r="E496" s="13">
        <v>6</v>
      </c>
      <c r="F496" s="13">
        <v>7</v>
      </c>
      <c r="G496" s="13">
        <f t="shared" si="23"/>
        <v>181</v>
      </c>
      <c r="H496" s="13">
        <v>184</v>
      </c>
      <c r="I496" s="14">
        <f t="shared" si="24"/>
        <v>-183.48767123287672</v>
      </c>
      <c r="J496" s="15" t="s">
        <v>1069</v>
      </c>
      <c r="P496" s="1" t="s">
        <v>234</v>
      </c>
      <c r="Q496" s="21">
        <v>108</v>
      </c>
      <c r="R496" s="22">
        <f>1000/Q496</f>
        <v>9.2592592592592595</v>
      </c>
      <c r="S496" s="22">
        <f>8.33*R496</f>
        <v>77.129629629629633</v>
      </c>
      <c r="T496" s="8">
        <f>S496*1.33</f>
        <v>102.58240740740742</v>
      </c>
    </row>
    <row r="497" spans="1:36" x14ac:dyDescent="0.2">
      <c r="A497">
        <v>-183</v>
      </c>
      <c r="B497" s="10" t="s">
        <v>130</v>
      </c>
      <c r="C497" s="11" t="s">
        <v>39</v>
      </c>
      <c r="D497" s="15" t="s">
        <v>1068</v>
      </c>
      <c r="E497" s="13">
        <v>6</v>
      </c>
      <c r="F497" s="13">
        <v>7</v>
      </c>
      <c r="G497" s="13">
        <f t="shared" si="23"/>
        <v>181</v>
      </c>
      <c r="H497" s="13">
        <v>184</v>
      </c>
      <c r="I497" s="14">
        <f t="shared" si="24"/>
        <v>-183.48767123287672</v>
      </c>
      <c r="J497" s="15" t="s">
        <v>1070</v>
      </c>
      <c r="T497" s="8"/>
    </row>
    <row r="498" spans="1:36" x14ac:dyDescent="0.2">
      <c r="A498">
        <v>-183</v>
      </c>
      <c r="B498" s="10" t="s">
        <v>130</v>
      </c>
      <c r="C498" s="11" t="s">
        <v>42</v>
      </c>
      <c r="D498" s="15" t="s">
        <v>1071</v>
      </c>
      <c r="E498" s="13">
        <v>16</v>
      </c>
      <c r="F498" s="13">
        <v>7</v>
      </c>
      <c r="G498" s="13">
        <f t="shared" si="23"/>
        <v>181</v>
      </c>
      <c r="H498" s="13">
        <v>184</v>
      </c>
      <c r="I498" s="14">
        <f t="shared" si="24"/>
        <v>-183.46027397260275</v>
      </c>
      <c r="J498" s="15" t="s">
        <v>1072</v>
      </c>
      <c r="K498" s="10">
        <v>102</v>
      </c>
      <c r="L498" s="16">
        <v>102</v>
      </c>
      <c r="M498" s="16">
        <f>1000/L498</f>
        <v>9.8039215686274517</v>
      </c>
      <c r="N498" s="16">
        <f>8.33*M498</f>
        <v>81.666666666666671</v>
      </c>
      <c r="O498" s="16">
        <f>1.613*N498</f>
        <v>131.72833333333335</v>
      </c>
      <c r="T498" s="8"/>
    </row>
    <row r="499" spans="1:36" x14ac:dyDescent="0.2">
      <c r="A499">
        <v>-183</v>
      </c>
      <c r="B499" s="10" t="s">
        <v>130</v>
      </c>
      <c r="C499" s="11" t="s">
        <v>45</v>
      </c>
      <c r="D499" s="15" t="s">
        <v>1073</v>
      </c>
      <c r="E499" s="13">
        <v>26</v>
      </c>
      <c r="F499" s="13">
        <v>7</v>
      </c>
      <c r="G499" s="13">
        <f t="shared" si="23"/>
        <v>181</v>
      </c>
      <c r="H499" s="13">
        <v>184</v>
      </c>
      <c r="I499" s="14">
        <f t="shared" si="24"/>
        <v>-183.43287671232878</v>
      </c>
      <c r="J499" s="15" t="s">
        <v>1069</v>
      </c>
      <c r="K499" s="10">
        <v>96</v>
      </c>
      <c r="L499" s="16">
        <v>96</v>
      </c>
      <c r="M499" s="16">
        <f>1000/L499</f>
        <v>10.416666666666666</v>
      </c>
      <c r="N499" s="16">
        <f>8.33*M499</f>
        <v>86.770833333333329</v>
      </c>
      <c r="O499" s="16">
        <f>1.613*N499</f>
        <v>139.96135416666667</v>
      </c>
      <c r="T499" s="8"/>
    </row>
    <row r="500" spans="1:36" x14ac:dyDescent="0.2">
      <c r="A500">
        <v>-183</v>
      </c>
      <c r="B500" s="10" t="s">
        <v>83</v>
      </c>
      <c r="C500" s="11" t="s">
        <v>39</v>
      </c>
      <c r="D500" s="15" t="s">
        <v>1074</v>
      </c>
      <c r="E500" s="13">
        <v>28</v>
      </c>
      <c r="F500" s="13">
        <v>1</v>
      </c>
      <c r="G500" s="13">
        <f t="shared" si="23"/>
        <v>0</v>
      </c>
      <c r="H500" s="13">
        <v>183</v>
      </c>
      <c r="I500" s="14">
        <f t="shared" si="24"/>
        <v>-182.92328767123288</v>
      </c>
      <c r="J500" s="15" t="s">
        <v>1075</v>
      </c>
      <c r="K500" s="10">
        <v>108</v>
      </c>
      <c r="L500" s="16">
        <v>108</v>
      </c>
      <c r="M500" s="16">
        <f>1000/L500</f>
        <v>9.2592592592592595</v>
      </c>
      <c r="N500" s="16">
        <f>8.33*M500</f>
        <v>77.129629629629633</v>
      </c>
      <c r="O500" s="16">
        <f>1.613*N500</f>
        <v>124.41009259259259</v>
      </c>
      <c r="T500" s="8"/>
    </row>
    <row r="501" spans="1:36" x14ac:dyDescent="0.2">
      <c r="A501">
        <v>-183</v>
      </c>
      <c r="B501" s="10" t="s">
        <v>83</v>
      </c>
      <c r="C501" s="11" t="s">
        <v>42</v>
      </c>
      <c r="D501" s="15" t="s">
        <v>1076</v>
      </c>
      <c r="E501" s="13">
        <v>7</v>
      </c>
      <c r="F501" s="13">
        <v>2</v>
      </c>
      <c r="G501" s="13">
        <f t="shared" si="23"/>
        <v>31</v>
      </c>
      <c r="H501" s="13">
        <v>183</v>
      </c>
      <c r="I501" s="14">
        <f t="shared" si="24"/>
        <v>-182.89589041095891</v>
      </c>
      <c r="J501" s="15" t="s">
        <v>1077</v>
      </c>
      <c r="K501" s="10">
        <v>132</v>
      </c>
      <c r="L501" s="16">
        <v>132</v>
      </c>
      <c r="M501" s="16">
        <f>1000/L501</f>
        <v>7.5757575757575761</v>
      </c>
      <c r="N501" s="16">
        <f>8.33*M501</f>
        <v>63.106060606060609</v>
      </c>
      <c r="O501" s="16">
        <f>1.613*N501</f>
        <v>101.79007575757576</v>
      </c>
      <c r="T501" s="8"/>
    </row>
    <row r="502" spans="1:36" x14ac:dyDescent="0.2">
      <c r="A502">
        <v>-183</v>
      </c>
      <c r="B502" s="10" t="s">
        <v>83</v>
      </c>
      <c r="C502" s="11" t="s">
        <v>45</v>
      </c>
      <c r="D502" s="15" t="s">
        <v>1078</v>
      </c>
      <c r="E502" s="13">
        <v>17</v>
      </c>
      <c r="F502" s="13">
        <v>2</v>
      </c>
      <c r="G502" s="13">
        <f t="shared" si="23"/>
        <v>31</v>
      </c>
      <c r="H502" s="13">
        <v>183</v>
      </c>
      <c r="I502" s="14">
        <f t="shared" si="24"/>
        <v>-182.86849315068494</v>
      </c>
      <c r="J502" s="15" t="s">
        <v>1079</v>
      </c>
      <c r="K502" s="10" t="s">
        <v>41</v>
      </c>
      <c r="T502" s="8"/>
    </row>
    <row r="503" spans="1:36" x14ac:dyDescent="0.2">
      <c r="A503">
        <v>-182</v>
      </c>
      <c r="B503" s="10" t="s">
        <v>47</v>
      </c>
      <c r="D503" s="15" t="s">
        <v>1080</v>
      </c>
      <c r="E503" s="13">
        <v>27</v>
      </c>
      <c r="F503" s="13">
        <v>4</v>
      </c>
      <c r="G503" s="13">
        <f t="shared" si="23"/>
        <v>90</v>
      </c>
      <c r="H503" s="13">
        <v>183</v>
      </c>
      <c r="I503" s="14">
        <f t="shared" si="24"/>
        <v>-182.67945205479452</v>
      </c>
      <c r="J503" s="15" t="s">
        <v>1081</v>
      </c>
      <c r="P503" s="1">
        <v>216</v>
      </c>
      <c r="Q503" s="9">
        <v>216</v>
      </c>
      <c r="R503" s="8">
        <f>1000/Q503</f>
        <v>4.6296296296296298</v>
      </c>
      <c r="S503" s="8">
        <f>8.33*R503</f>
        <v>38.564814814814817</v>
      </c>
      <c r="T503" s="8">
        <f>S503*1.33</f>
        <v>51.291203703703708</v>
      </c>
    </row>
    <row r="504" spans="1:36" x14ac:dyDescent="0.2">
      <c r="A504">
        <v>-182</v>
      </c>
      <c r="B504" s="10" t="s">
        <v>47</v>
      </c>
      <c r="C504" s="11" t="s">
        <v>39</v>
      </c>
      <c r="D504" s="15" t="s">
        <v>1080</v>
      </c>
      <c r="E504" s="13">
        <v>27</v>
      </c>
      <c r="F504" s="13">
        <v>4</v>
      </c>
      <c r="G504" s="13">
        <f t="shared" si="23"/>
        <v>90</v>
      </c>
      <c r="H504" s="13">
        <v>183</v>
      </c>
      <c r="I504" s="14">
        <f t="shared" si="24"/>
        <v>-182.67945205479452</v>
      </c>
      <c r="J504" s="15" t="s">
        <v>1082</v>
      </c>
      <c r="K504" s="10" t="s">
        <v>501</v>
      </c>
      <c r="R504" s="8"/>
      <c r="S504" s="8"/>
      <c r="T504" s="8"/>
      <c r="U504" t="s">
        <v>41</v>
      </c>
    </row>
    <row r="505" spans="1:36" x14ac:dyDescent="0.2">
      <c r="A505">
        <v>-182</v>
      </c>
      <c r="B505" s="10" t="s">
        <v>47</v>
      </c>
      <c r="C505" s="11" t="s">
        <v>42</v>
      </c>
      <c r="D505" s="15" t="s">
        <v>1083</v>
      </c>
      <c r="E505" s="13">
        <v>7</v>
      </c>
      <c r="F505" s="13">
        <v>5</v>
      </c>
      <c r="G505" s="13">
        <f t="shared" si="23"/>
        <v>120</v>
      </c>
      <c r="H505" s="13">
        <v>183</v>
      </c>
      <c r="I505" s="14">
        <f t="shared" si="24"/>
        <v>-182.65205479452055</v>
      </c>
      <c r="J505" s="15" t="s">
        <v>1084</v>
      </c>
      <c r="K505" s="10">
        <v>216</v>
      </c>
      <c r="L505" s="16">
        <v>216</v>
      </c>
      <c r="M505" s="16">
        <f>1000/L505</f>
        <v>4.6296296296296298</v>
      </c>
      <c r="N505" s="16">
        <f>8.33*M505</f>
        <v>38.564814814814817</v>
      </c>
      <c r="O505" s="16">
        <f>1.613*N505</f>
        <v>62.205046296296295</v>
      </c>
      <c r="R505" s="8"/>
      <c r="S505" s="8"/>
      <c r="T505" s="8"/>
    </row>
    <row r="506" spans="1:36" x14ac:dyDescent="0.2">
      <c r="A506">
        <v>-182</v>
      </c>
      <c r="B506" s="10" t="s">
        <v>47</v>
      </c>
      <c r="C506" s="11" t="s">
        <v>45</v>
      </c>
      <c r="D506" s="15" t="s">
        <v>1085</v>
      </c>
      <c r="E506" s="13">
        <v>17</v>
      </c>
      <c r="F506" s="13">
        <v>5</v>
      </c>
      <c r="G506" s="13">
        <f t="shared" si="23"/>
        <v>120</v>
      </c>
      <c r="H506" s="13">
        <v>183</v>
      </c>
      <c r="I506" s="14">
        <f t="shared" si="24"/>
        <v>-182.62465753424658</v>
      </c>
      <c r="J506" s="15" t="s">
        <v>1081</v>
      </c>
      <c r="K506" s="10">
        <v>168</v>
      </c>
      <c r="L506" s="16">
        <v>168</v>
      </c>
      <c r="M506" s="16">
        <f>1000/L506</f>
        <v>5.9523809523809526</v>
      </c>
      <c r="N506" s="16">
        <f>8.33*M506</f>
        <v>49.583333333333336</v>
      </c>
      <c r="O506" s="16">
        <f>1.613*N506</f>
        <v>79.977916666666673</v>
      </c>
      <c r="R506" s="8"/>
      <c r="S506" s="8"/>
      <c r="T506" s="8"/>
    </row>
    <row r="507" spans="1:36" x14ac:dyDescent="0.2">
      <c r="A507">
        <v>-182</v>
      </c>
      <c r="B507" s="10" t="s">
        <v>72</v>
      </c>
      <c r="D507" s="15" t="s">
        <v>1086</v>
      </c>
      <c r="E507" s="13">
        <v>24</v>
      </c>
      <c r="F507" s="13">
        <v>8</v>
      </c>
      <c r="G507" s="13">
        <f t="shared" si="23"/>
        <v>212</v>
      </c>
      <c r="H507" s="13">
        <v>183</v>
      </c>
      <c r="I507" s="14">
        <f t="shared" si="24"/>
        <v>-182.35342465753425</v>
      </c>
      <c r="J507" s="15" t="s">
        <v>1087</v>
      </c>
      <c r="K507" s="2">
        <v>216</v>
      </c>
      <c r="L507" s="8">
        <v>216</v>
      </c>
      <c r="M507" s="8">
        <f>1000/L507</f>
        <v>4.6296296296296298</v>
      </c>
      <c r="N507" s="8">
        <f>8.33*M507</f>
        <v>38.564814814814817</v>
      </c>
      <c r="O507" s="8">
        <f>1.613*N507</f>
        <v>62.205046296296295</v>
      </c>
      <c r="P507" s="1">
        <v>324</v>
      </c>
      <c r="Q507" s="9">
        <v>324</v>
      </c>
      <c r="R507" s="8">
        <f>1000/Q507</f>
        <v>3.0864197530864197</v>
      </c>
      <c r="S507" s="8">
        <f>8.33*R507</f>
        <v>25.709876543209877</v>
      </c>
      <c r="T507" s="8">
        <f>S507*1.33</f>
        <v>34.194135802469141</v>
      </c>
    </row>
    <row r="508" spans="1:36" x14ac:dyDescent="0.2">
      <c r="A508">
        <v>-182</v>
      </c>
      <c r="B508" s="10" t="s">
        <v>94</v>
      </c>
      <c r="D508" s="15" t="s">
        <v>1088</v>
      </c>
      <c r="E508" s="13">
        <v>21</v>
      </c>
      <c r="F508" s="13">
        <v>10</v>
      </c>
      <c r="G508" s="13">
        <f t="shared" si="23"/>
        <v>273</v>
      </c>
      <c r="H508" s="13">
        <v>183</v>
      </c>
      <c r="I508" s="14">
        <f t="shared" si="24"/>
        <v>-182.19452054794522</v>
      </c>
      <c r="J508" s="15" t="s">
        <v>1089</v>
      </c>
      <c r="K508" s="2"/>
      <c r="L508" s="8"/>
      <c r="P508" s="1"/>
      <c r="Q508" s="9"/>
      <c r="T508" s="8"/>
      <c r="U508" s="1">
        <v>252</v>
      </c>
      <c r="V508" s="9">
        <v>252</v>
      </c>
      <c r="W508" s="8">
        <f>1000/V508</f>
        <v>3.9682539682539684</v>
      </c>
      <c r="X508" s="8">
        <f>8.33*W508</f>
        <v>33.055555555555557</v>
      </c>
      <c r="Y508" s="1">
        <v>72</v>
      </c>
      <c r="Z508" s="9">
        <v>72</v>
      </c>
      <c r="AA508" s="8">
        <f>1000/Z508</f>
        <v>13.888888888888889</v>
      </c>
      <c r="AB508" s="8">
        <f>8.33*AA508</f>
        <v>115.69444444444444</v>
      </c>
      <c r="AC508" s="1">
        <v>25</v>
      </c>
      <c r="AD508" s="9">
        <v>25</v>
      </c>
      <c r="AE508" s="8">
        <f>1000/AD508</f>
        <v>40</v>
      </c>
      <c r="AF508" s="8">
        <f>8.33*AE508</f>
        <v>333.2</v>
      </c>
      <c r="AG508" s="1">
        <v>4</v>
      </c>
      <c r="AH508" s="9">
        <v>4</v>
      </c>
      <c r="AI508" s="8">
        <f>1/AH508</f>
        <v>0.25</v>
      </c>
      <c r="AJ508" s="8">
        <f>8.33*AI508</f>
        <v>2.0825</v>
      </c>
    </row>
    <row r="509" spans="1:36" x14ac:dyDescent="0.2">
      <c r="A509">
        <v>-182</v>
      </c>
      <c r="B509" s="10" t="s">
        <v>94</v>
      </c>
      <c r="C509" s="11" t="s">
        <v>39</v>
      </c>
      <c r="D509" s="15" t="s">
        <v>1088</v>
      </c>
      <c r="E509" s="13">
        <v>21</v>
      </c>
      <c r="F509" s="13">
        <v>10</v>
      </c>
      <c r="G509" s="13">
        <f t="shared" si="23"/>
        <v>273</v>
      </c>
      <c r="H509" s="13">
        <v>183</v>
      </c>
      <c r="I509" s="14">
        <f t="shared" si="24"/>
        <v>-182.19452054794522</v>
      </c>
      <c r="J509" s="15" t="s">
        <v>1090</v>
      </c>
      <c r="P509">
        <v>360</v>
      </c>
      <c r="Q509" s="17">
        <v>360</v>
      </c>
      <c r="R509" s="16">
        <f>1000/Q509</f>
        <v>2.7777777777777777</v>
      </c>
      <c r="S509" s="16">
        <f>8.33*R509</f>
        <v>23.138888888888889</v>
      </c>
      <c r="T509" s="16">
        <f>S509*1.33</f>
        <v>30.774722222222223</v>
      </c>
      <c r="U509" s="1"/>
      <c r="V509" s="9"/>
      <c r="W509" s="8"/>
      <c r="X509" s="8"/>
      <c r="Y509" s="1"/>
      <c r="Z509" s="9"/>
      <c r="AA509" s="8"/>
      <c r="AB509" s="8"/>
      <c r="AC509" s="1"/>
      <c r="AD509" s="9"/>
      <c r="AE509" s="8"/>
      <c r="AF509" s="8"/>
    </row>
    <row r="510" spans="1:36" x14ac:dyDescent="0.2">
      <c r="A510">
        <v>-182</v>
      </c>
      <c r="B510" s="10" t="s">
        <v>94</v>
      </c>
      <c r="C510" s="11" t="s">
        <v>42</v>
      </c>
      <c r="D510" s="15" t="s">
        <v>1091</v>
      </c>
      <c r="E510" s="13">
        <v>31</v>
      </c>
      <c r="F510" s="13">
        <v>10</v>
      </c>
      <c r="G510" s="13">
        <f t="shared" si="23"/>
        <v>273</v>
      </c>
      <c r="H510" s="13">
        <v>183</v>
      </c>
      <c r="I510" s="14">
        <f t="shared" si="24"/>
        <v>-182.16712328767125</v>
      </c>
      <c r="J510" s="15" t="s">
        <v>1092</v>
      </c>
      <c r="K510" s="10">
        <v>168</v>
      </c>
      <c r="L510" s="16">
        <v>168</v>
      </c>
      <c r="M510" s="16">
        <f>1000/L510</f>
        <v>5.9523809523809526</v>
      </c>
      <c r="N510" s="16">
        <f>8.33*M510</f>
        <v>49.583333333333336</v>
      </c>
      <c r="O510" s="16">
        <f>1.613*N510</f>
        <v>79.977916666666673</v>
      </c>
      <c r="T510" s="8"/>
      <c r="U510" s="1"/>
      <c r="V510" s="9"/>
      <c r="W510" s="8"/>
      <c r="X510" s="8"/>
      <c r="Y510" s="1"/>
      <c r="Z510" s="9"/>
      <c r="AA510" s="8"/>
      <c r="AB510" s="8"/>
      <c r="AC510" s="1"/>
      <c r="AD510" s="9"/>
      <c r="AE510" s="8"/>
      <c r="AF510" s="8"/>
    </row>
    <row r="511" spans="1:36" x14ac:dyDescent="0.2">
      <c r="A511">
        <v>-182</v>
      </c>
      <c r="B511" s="10" t="s">
        <v>94</v>
      </c>
      <c r="C511" s="11" t="s">
        <v>45</v>
      </c>
      <c r="D511" s="15" t="s">
        <v>1093</v>
      </c>
      <c r="E511" s="13">
        <v>10</v>
      </c>
      <c r="F511" s="13">
        <v>11</v>
      </c>
      <c r="G511" s="13">
        <f t="shared" si="23"/>
        <v>304</v>
      </c>
      <c r="H511" s="13">
        <v>183</v>
      </c>
      <c r="I511" s="14">
        <f t="shared" si="24"/>
        <v>-182.13972602739727</v>
      </c>
      <c r="J511" s="15" t="s">
        <v>1089</v>
      </c>
      <c r="K511" s="10">
        <v>180</v>
      </c>
      <c r="L511" s="16">
        <v>180</v>
      </c>
      <c r="M511" s="16">
        <f>1000/L511</f>
        <v>5.5555555555555554</v>
      </c>
      <c r="N511" s="16">
        <f>8.33*M511</f>
        <v>46.277777777777779</v>
      </c>
      <c r="O511" s="16">
        <f>1.613*N511</f>
        <v>74.646055555555563</v>
      </c>
      <c r="Q511" s="20"/>
      <c r="T511" s="8"/>
      <c r="U511" s="1"/>
      <c r="V511" s="9"/>
      <c r="W511" s="8"/>
      <c r="X511" s="8"/>
      <c r="Y511" s="1"/>
      <c r="Z511" s="9"/>
      <c r="AA511" s="8"/>
      <c r="AB511" s="8"/>
      <c r="AC511" s="1"/>
      <c r="AD511" s="9"/>
      <c r="AE511" s="8"/>
      <c r="AF511" s="8"/>
    </row>
    <row r="512" spans="1:36" x14ac:dyDescent="0.2">
      <c r="A512">
        <v>-182</v>
      </c>
      <c r="B512" s="10" t="s">
        <v>36</v>
      </c>
      <c r="D512" s="15" t="s">
        <v>1094</v>
      </c>
      <c r="E512" s="13">
        <v>20</v>
      </c>
      <c r="F512" s="13">
        <v>11</v>
      </c>
      <c r="G512" s="13">
        <f t="shared" si="23"/>
        <v>304</v>
      </c>
      <c r="H512" s="13">
        <v>183</v>
      </c>
      <c r="I512" s="14">
        <f t="shared" si="24"/>
        <v>-182.1123287671233</v>
      </c>
      <c r="J512" s="15" t="s">
        <v>1095</v>
      </c>
      <c r="Q512" s="20"/>
      <c r="T512" s="8"/>
      <c r="U512" s="1">
        <v>270</v>
      </c>
      <c r="V512" s="9">
        <v>270</v>
      </c>
      <c r="W512" s="8">
        <f>1000/V512</f>
        <v>3.7037037037037037</v>
      </c>
      <c r="X512" s="8">
        <f>8.33*W512</f>
        <v>30.851851851851851</v>
      </c>
      <c r="Y512" s="1">
        <v>48</v>
      </c>
      <c r="Z512" s="9">
        <v>48</v>
      </c>
      <c r="AA512" s="8">
        <f>1000/Z512</f>
        <v>20.833333333333332</v>
      </c>
      <c r="AB512" s="8">
        <f>8.33*AA512</f>
        <v>173.54166666666666</v>
      </c>
      <c r="AC512" s="1"/>
      <c r="AD512" s="9"/>
      <c r="AE512" s="8"/>
      <c r="AF512" s="8"/>
    </row>
    <row r="513" spans="1:37" x14ac:dyDescent="0.2">
      <c r="A513">
        <v>-182</v>
      </c>
      <c r="B513" s="10" t="s">
        <v>36</v>
      </c>
      <c r="C513" s="11" t="s">
        <v>39</v>
      </c>
      <c r="D513" s="15" t="s">
        <v>1094</v>
      </c>
      <c r="E513" s="13">
        <v>20</v>
      </c>
      <c r="F513" s="13">
        <v>11</v>
      </c>
      <c r="G513" s="13">
        <f t="shared" si="23"/>
        <v>304</v>
      </c>
      <c r="H513" s="13">
        <v>183</v>
      </c>
      <c r="I513" s="14">
        <f t="shared" si="24"/>
        <v>-182.1123287671233</v>
      </c>
      <c r="J513" s="15" t="s">
        <v>1096</v>
      </c>
      <c r="P513" t="s">
        <v>222</v>
      </c>
      <c r="Q513" s="20">
        <v>360</v>
      </c>
      <c r="R513" s="19">
        <f>1000/Q513</f>
        <v>2.7777777777777777</v>
      </c>
      <c r="S513" s="19">
        <f>8.33*R513</f>
        <v>23.138888888888889</v>
      </c>
      <c r="T513" s="16">
        <f>S513*1.33</f>
        <v>30.774722222222223</v>
      </c>
    </row>
    <row r="514" spans="1:37" x14ac:dyDescent="0.2">
      <c r="A514">
        <v>-182</v>
      </c>
      <c r="B514" s="10" t="s">
        <v>36</v>
      </c>
      <c r="C514" s="11" t="s">
        <v>42</v>
      </c>
      <c r="D514" s="15" t="s">
        <v>1097</v>
      </c>
      <c r="E514" s="13">
        <v>30</v>
      </c>
      <c r="F514" s="13">
        <v>11</v>
      </c>
      <c r="G514" s="13">
        <f t="shared" ref="G514:G577" si="25">INDEX(A$1502:A$1513,F514)</f>
        <v>304</v>
      </c>
      <c r="H514" s="13">
        <v>183</v>
      </c>
      <c r="I514" s="14">
        <f t="shared" si="24"/>
        <v>-182.0849315068493</v>
      </c>
      <c r="J514" s="15" t="s">
        <v>1098</v>
      </c>
      <c r="Q514" s="20">
        <v>360</v>
      </c>
      <c r="R514" s="19">
        <v>2.78</v>
      </c>
      <c r="S514" s="19">
        <v>23.14</v>
      </c>
      <c r="T514" s="16">
        <f>S514*1.33</f>
        <v>30.776200000000003</v>
      </c>
    </row>
    <row r="515" spans="1:37" x14ac:dyDescent="0.2">
      <c r="A515">
        <v>-182</v>
      </c>
      <c r="B515" s="10" t="s">
        <v>36</v>
      </c>
      <c r="C515" s="11" t="s">
        <v>45</v>
      </c>
      <c r="D515" s="15" t="s">
        <v>1099</v>
      </c>
      <c r="E515" s="13">
        <v>10</v>
      </c>
      <c r="F515" s="13">
        <v>12</v>
      </c>
      <c r="G515" s="13">
        <f t="shared" si="25"/>
        <v>334</v>
      </c>
      <c r="H515" s="13">
        <v>183</v>
      </c>
      <c r="I515" s="14">
        <f t="shared" ref="I515:I578" si="26">($E515+$G515)/365-$H515</f>
        <v>-182.05753424657533</v>
      </c>
      <c r="J515" s="15" t="s">
        <v>1095</v>
      </c>
      <c r="P515">
        <v>378</v>
      </c>
      <c r="Q515" s="17">
        <v>378</v>
      </c>
      <c r="R515" s="16">
        <f>1000/Q515</f>
        <v>2.6455026455026456</v>
      </c>
      <c r="S515" s="16">
        <f>8.33*R515</f>
        <v>22.037037037037038</v>
      </c>
      <c r="T515" s="16">
        <f>S515*1.33</f>
        <v>29.309259259259264</v>
      </c>
    </row>
    <row r="516" spans="1:37" x14ac:dyDescent="0.2">
      <c r="A516">
        <v>-182</v>
      </c>
      <c r="B516" s="10" t="s">
        <v>75</v>
      </c>
      <c r="D516" s="15" t="s">
        <v>1100</v>
      </c>
      <c r="E516" s="13">
        <v>19</v>
      </c>
      <c r="F516" s="13">
        <v>12</v>
      </c>
      <c r="G516" s="13">
        <f t="shared" si="25"/>
        <v>334</v>
      </c>
      <c r="H516" s="13">
        <v>183</v>
      </c>
      <c r="I516" s="14">
        <f t="shared" si="26"/>
        <v>-182.03287671232877</v>
      </c>
      <c r="J516" s="15" t="s">
        <v>1101</v>
      </c>
      <c r="AC516" t="s">
        <v>1102</v>
      </c>
      <c r="AD516" s="20">
        <v>21</v>
      </c>
      <c r="AE516" s="19">
        <f>1000/AD516</f>
        <v>47.61904761904762</v>
      </c>
      <c r="AF516" s="19">
        <f>8.33*AE516</f>
        <v>396.66666666666669</v>
      </c>
      <c r="AG516" s="1">
        <v>3.5</v>
      </c>
      <c r="AH516" s="9">
        <v>3.5</v>
      </c>
      <c r="AI516" s="8">
        <f>1/AH516</f>
        <v>0.2857142857142857</v>
      </c>
      <c r="AJ516" s="8">
        <f>8.33*AI516</f>
        <v>2.38</v>
      </c>
    </row>
    <row r="517" spans="1:37" x14ac:dyDescent="0.2">
      <c r="A517">
        <v>-182</v>
      </c>
      <c r="B517" s="10" t="s">
        <v>83</v>
      </c>
      <c r="D517" s="15" t="s">
        <v>1103</v>
      </c>
      <c r="E517" s="13">
        <v>17</v>
      </c>
      <c r="F517" s="13">
        <v>1</v>
      </c>
      <c r="G517" s="13">
        <f t="shared" si="25"/>
        <v>0</v>
      </c>
      <c r="H517" s="13">
        <v>182</v>
      </c>
      <c r="I517" s="14">
        <f t="shared" si="26"/>
        <v>-181.95342465753424</v>
      </c>
      <c r="J517" s="15" t="s">
        <v>1104</v>
      </c>
      <c r="K517" s="2" t="s">
        <v>1105</v>
      </c>
      <c r="L517" s="22">
        <v>132</v>
      </c>
      <c r="M517" s="22">
        <f>1000/L517</f>
        <v>7.5757575757575761</v>
      </c>
      <c r="N517" s="22">
        <f>8.33*M517</f>
        <v>63.106060606060609</v>
      </c>
      <c r="O517" s="22">
        <f>1.613*N517</f>
        <v>101.79007575757576</v>
      </c>
      <c r="P517" s="1">
        <v>330</v>
      </c>
      <c r="Q517" s="9">
        <v>330</v>
      </c>
      <c r="R517" s="8">
        <f>1000/Q517</f>
        <v>3.0303030303030303</v>
      </c>
      <c r="S517" s="8">
        <f>8.33*R517</f>
        <v>25.242424242424242</v>
      </c>
      <c r="T517" s="8">
        <f>S517*1.33</f>
        <v>33.572424242424241</v>
      </c>
      <c r="U517" s="1">
        <v>240</v>
      </c>
      <c r="V517" s="9">
        <v>240</v>
      </c>
      <c r="W517" s="8">
        <f>1000/V517</f>
        <v>4.166666666666667</v>
      </c>
      <c r="X517" s="8">
        <f>8.33*W517</f>
        <v>34.708333333333336</v>
      </c>
      <c r="Y517" s="1">
        <v>72</v>
      </c>
      <c r="Z517" s="9">
        <v>72</v>
      </c>
      <c r="AA517" s="8">
        <f>1000/Z517</f>
        <v>13.888888888888889</v>
      </c>
      <c r="AB517" s="8">
        <f>8.33*AA517</f>
        <v>115.69444444444444</v>
      </c>
      <c r="AC517" s="1">
        <v>21</v>
      </c>
      <c r="AD517" s="9">
        <v>21</v>
      </c>
      <c r="AE517" s="8">
        <f>1000/AD517</f>
        <v>47.61904761904762</v>
      </c>
      <c r="AF517" s="8">
        <f>8.33*AE517</f>
        <v>396.66666666666669</v>
      </c>
      <c r="AG517" s="1">
        <v>4</v>
      </c>
      <c r="AH517" s="9">
        <v>4</v>
      </c>
      <c r="AI517" s="8">
        <f>1/AH517</f>
        <v>0.25</v>
      </c>
      <c r="AJ517" s="8">
        <f>8.33*AI517</f>
        <v>2.0825</v>
      </c>
      <c r="AK517" t="s">
        <v>1106</v>
      </c>
    </row>
    <row r="518" spans="1:37" x14ac:dyDescent="0.2">
      <c r="A518">
        <v>-181</v>
      </c>
      <c r="B518" s="10" t="s">
        <v>130</v>
      </c>
      <c r="D518" s="15" t="s">
        <v>1107</v>
      </c>
      <c r="E518" s="13">
        <v>14</v>
      </c>
      <c r="F518" s="13">
        <v>7</v>
      </c>
      <c r="G518" s="13">
        <f t="shared" si="25"/>
        <v>181</v>
      </c>
      <c r="H518" s="13">
        <v>182</v>
      </c>
      <c r="I518" s="14">
        <f t="shared" si="26"/>
        <v>-181.46575342465752</v>
      </c>
      <c r="J518" s="15" t="s">
        <v>1108</v>
      </c>
      <c r="K518" s="10">
        <v>240</v>
      </c>
      <c r="L518" s="16">
        <v>240</v>
      </c>
      <c r="M518" s="16">
        <f>1000/L518</f>
        <v>4.166666666666667</v>
      </c>
      <c r="N518" s="16">
        <f>8.33*M518</f>
        <v>34.708333333333336</v>
      </c>
      <c r="O518" s="16">
        <f>1.613*N518</f>
        <v>55.984541666666672</v>
      </c>
      <c r="P518" t="s">
        <v>1109</v>
      </c>
      <c r="Q518" s="20">
        <v>396</v>
      </c>
      <c r="R518" s="19">
        <f>1000/Q518</f>
        <v>2.5252525252525251</v>
      </c>
      <c r="S518" s="19">
        <f>8.33*R518</f>
        <v>21.035353535353533</v>
      </c>
      <c r="T518" s="16">
        <f>S518*1.33</f>
        <v>27.977020202020199</v>
      </c>
      <c r="U518" t="s">
        <v>1110</v>
      </c>
      <c r="V518" s="20">
        <v>405</v>
      </c>
      <c r="W518" s="19">
        <f>1000/V518</f>
        <v>2.4691358024691357</v>
      </c>
      <c r="X518" s="19">
        <f>8.33*W518</f>
        <v>20.567901234567902</v>
      </c>
      <c r="Y518" t="s">
        <v>41</v>
      </c>
      <c r="AC518" s="1">
        <v>16.5</v>
      </c>
      <c r="AD518" s="9">
        <v>16.5</v>
      </c>
      <c r="AE518" s="8">
        <f>1000/AD518</f>
        <v>60.606060606060609</v>
      </c>
      <c r="AF518" s="8">
        <f>8.33*AE518</f>
        <v>504.84848484848487</v>
      </c>
      <c r="AG518" s="1" t="s">
        <v>1111</v>
      </c>
      <c r="AH518" s="21">
        <v>2.5</v>
      </c>
      <c r="AI518" s="22">
        <f>1/AH518</f>
        <v>0.4</v>
      </c>
      <c r="AJ518" s="22">
        <f>8.33*AI518</f>
        <v>3.3320000000000003</v>
      </c>
      <c r="AK518" t="s">
        <v>1112</v>
      </c>
    </row>
    <row r="519" spans="1:37" x14ac:dyDescent="0.2">
      <c r="A519">
        <v>-180</v>
      </c>
      <c r="B519" s="10" t="s">
        <v>83</v>
      </c>
      <c r="D519" s="15" t="s">
        <v>1113</v>
      </c>
      <c r="E519" s="13">
        <v>25</v>
      </c>
      <c r="F519" s="13">
        <v>1</v>
      </c>
      <c r="G519" s="13">
        <f t="shared" si="25"/>
        <v>0</v>
      </c>
      <c r="H519" s="13">
        <v>180</v>
      </c>
      <c r="I519" s="14">
        <f t="shared" si="26"/>
        <v>-179.93150684931507</v>
      </c>
      <c r="J519" s="15" t="s">
        <v>1114</v>
      </c>
      <c r="AC519" s="1">
        <v>24</v>
      </c>
      <c r="AD519" s="9">
        <v>24</v>
      </c>
      <c r="AE519" s="8">
        <f>1000/AD519</f>
        <v>41.666666666666664</v>
      </c>
      <c r="AF519" s="8">
        <f>8.33*AE519</f>
        <v>347.08333333333331</v>
      </c>
      <c r="AG519" s="1">
        <v>2.5</v>
      </c>
      <c r="AH519" s="9">
        <v>2.5</v>
      </c>
      <c r="AI519" s="8">
        <f>1/AH519</f>
        <v>0.4</v>
      </c>
      <c r="AJ519" s="8">
        <f>8.33*AI519</f>
        <v>3.3320000000000003</v>
      </c>
    </row>
    <row r="520" spans="1:37" x14ac:dyDescent="0.2">
      <c r="A520">
        <v>-180</v>
      </c>
      <c r="B520" s="10" t="s">
        <v>83</v>
      </c>
      <c r="C520" s="11" t="s">
        <v>39</v>
      </c>
      <c r="D520" s="15" t="s">
        <v>1113</v>
      </c>
      <c r="E520" s="13">
        <v>25</v>
      </c>
      <c r="F520" s="13">
        <v>1</v>
      </c>
      <c r="G520" s="13">
        <f t="shared" si="25"/>
        <v>0</v>
      </c>
      <c r="H520" s="13">
        <v>180</v>
      </c>
      <c r="I520" s="14">
        <f t="shared" si="26"/>
        <v>-179.93150684931507</v>
      </c>
      <c r="J520" s="15" t="s">
        <v>1115</v>
      </c>
      <c r="K520" s="10" t="s">
        <v>109</v>
      </c>
      <c r="L520" s="19">
        <v>72</v>
      </c>
      <c r="M520" s="19">
        <f>1000/L520</f>
        <v>13.888888888888889</v>
      </c>
      <c r="N520" s="19">
        <f>8.33*M520</f>
        <v>115.69444444444444</v>
      </c>
      <c r="O520" s="19">
        <f>1.613*N520</f>
        <v>186.61513888888888</v>
      </c>
      <c r="P520">
        <v>180</v>
      </c>
      <c r="Q520" s="17">
        <v>180</v>
      </c>
      <c r="R520" s="16">
        <f>1000/Q520</f>
        <v>5.5555555555555554</v>
      </c>
      <c r="S520" s="16">
        <f>8.33*R520</f>
        <v>46.277777777777779</v>
      </c>
      <c r="T520" s="16">
        <f>S520*1.33</f>
        <v>61.549444444444447</v>
      </c>
      <c r="U520" t="s">
        <v>926</v>
      </c>
    </row>
    <row r="521" spans="1:37" x14ac:dyDescent="0.2">
      <c r="A521">
        <v>-180</v>
      </c>
      <c r="B521" s="10" t="s">
        <v>83</v>
      </c>
      <c r="C521" s="11" t="s">
        <v>42</v>
      </c>
      <c r="D521" s="15" t="s">
        <v>1116</v>
      </c>
      <c r="E521" s="13">
        <v>4</v>
      </c>
      <c r="F521" s="13">
        <v>2</v>
      </c>
      <c r="G521" s="13">
        <f t="shared" si="25"/>
        <v>31</v>
      </c>
      <c r="H521" s="13">
        <v>180</v>
      </c>
      <c r="I521" s="14">
        <f t="shared" si="26"/>
        <v>-179.9041095890411</v>
      </c>
      <c r="J521" s="15" t="s">
        <v>1117</v>
      </c>
      <c r="K521" s="10" t="s">
        <v>1118</v>
      </c>
      <c r="L521" s="19"/>
      <c r="M521" s="19"/>
      <c r="N521" s="19"/>
      <c r="O521" s="19"/>
    </row>
    <row r="522" spans="1:37" x14ac:dyDescent="0.2">
      <c r="A522">
        <v>-180</v>
      </c>
      <c r="B522" s="10" t="s">
        <v>83</v>
      </c>
      <c r="C522" s="11" t="s">
        <v>45</v>
      </c>
      <c r="D522" s="15" t="s">
        <v>1119</v>
      </c>
      <c r="E522" s="13">
        <v>14</v>
      </c>
      <c r="F522" s="13">
        <v>2</v>
      </c>
      <c r="G522" s="13">
        <f t="shared" si="25"/>
        <v>31</v>
      </c>
      <c r="H522" s="13">
        <v>180</v>
      </c>
      <c r="I522" s="14">
        <f t="shared" si="26"/>
        <v>-179.87671232876713</v>
      </c>
      <c r="J522" s="15" t="s">
        <v>1114</v>
      </c>
      <c r="K522" s="10">
        <v>60</v>
      </c>
      <c r="L522" s="19">
        <v>60</v>
      </c>
      <c r="M522" s="19">
        <f>1000/L522</f>
        <v>16.666666666666668</v>
      </c>
      <c r="N522" s="19">
        <f>8.33*M522</f>
        <v>138.83333333333334</v>
      </c>
      <c r="O522" s="19">
        <f>1.613*N522</f>
        <v>223.93816666666669</v>
      </c>
      <c r="P522">
        <v>156</v>
      </c>
      <c r="Q522" s="17">
        <v>156</v>
      </c>
      <c r="R522" s="16">
        <f>1000/Q522</f>
        <v>6.4102564102564106</v>
      </c>
      <c r="S522" s="16">
        <f>8.33*R522</f>
        <v>53.397435897435898</v>
      </c>
      <c r="T522" s="16">
        <f>S522*1.33</f>
        <v>71.018589743589743</v>
      </c>
    </row>
    <row r="523" spans="1:37" x14ac:dyDescent="0.2">
      <c r="A523">
        <v>-180</v>
      </c>
      <c r="B523" s="10" t="s">
        <v>127</v>
      </c>
      <c r="D523" s="15" t="s">
        <v>1120</v>
      </c>
      <c r="E523" s="13">
        <v>24</v>
      </c>
      <c r="F523" s="13">
        <v>2</v>
      </c>
      <c r="G523" s="13">
        <f t="shared" si="25"/>
        <v>31</v>
      </c>
      <c r="H523" s="13">
        <v>180</v>
      </c>
      <c r="I523" s="14">
        <f t="shared" si="26"/>
        <v>-179.84931506849315</v>
      </c>
      <c r="J523" s="15" t="s">
        <v>1121</v>
      </c>
      <c r="Y523" s="1" t="s">
        <v>568</v>
      </c>
      <c r="Z523" s="9">
        <v>72</v>
      </c>
      <c r="AA523" s="8">
        <f>1000/Z523</f>
        <v>13.888888888888889</v>
      </c>
      <c r="AB523" s="8">
        <f>8.33*AA523</f>
        <v>115.69444444444444</v>
      </c>
      <c r="AC523" s="1">
        <v>22.5</v>
      </c>
      <c r="AD523" s="9">
        <v>22.5</v>
      </c>
      <c r="AE523" s="8">
        <f>1000/AD523</f>
        <v>44.444444444444443</v>
      </c>
      <c r="AF523" s="8">
        <f>8.33*AE523</f>
        <v>370.22222222222223</v>
      </c>
      <c r="AG523" s="1">
        <v>2.5</v>
      </c>
      <c r="AH523" s="9">
        <v>2.5</v>
      </c>
      <c r="AI523" s="8">
        <f>1/AH523</f>
        <v>0.4</v>
      </c>
      <c r="AJ523" s="8">
        <f>8.33*AI523</f>
        <v>3.3320000000000003</v>
      </c>
    </row>
    <row r="524" spans="1:37" x14ac:dyDescent="0.2">
      <c r="A524">
        <v>-180</v>
      </c>
      <c r="B524" s="10" t="s">
        <v>127</v>
      </c>
      <c r="C524" s="11" t="s">
        <v>39</v>
      </c>
      <c r="D524" s="15" t="s">
        <v>1120</v>
      </c>
      <c r="E524" s="13">
        <v>24</v>
      </c>
      <c r="F524" s="13">
        <v>2</v>
      </c>
      <c r="G524" s="13">
        <f t="shared" si="25"/>
        <v>31</v>
      </c>
      <c r="H524" s="13">
        <v>180</v>
      </c>
      <c r="I524" s="14">
        <f t="shared" si="26"/>
        <v>-179.84931506849315</v>
      </c>
      <c r="J524" s="15" t="s">
        <v>1122</v>
      </c>
      <c r="K524" s="10">
        <v>90</v>
      </c>
      <c r="L524" s="16">
        <v>90</v>
      </c>
      <c r="M524" s="16">
        <f>1000/L524</f>
        <v>11.111111111111111</v>
      </c>
      <c r="N524" s="16">
        <f>8.33*M524</f>
        <v>92.555555555555557</v>
      </c>
      <c r="O524" s="16">
        <f>1.613*N524</f>
        <v>149.29211111111113</v>
      </c>
      <c r="P524" t="s">
        <v>1123</v>
      </c>
      <c r="Q524" s="20">
        <v>156</v>
      </c>
      <c r="R524" s="19">
        <f>1000/Q524</f>
        <v>6.4102564102564106</v>
      </c>
      <c r="S524" s="19">
        <f>8.33*R524</f>
        <v>53.397435897435898</v>
      </c>
      <c r="T524" s="16">
        <f>S524*1.33</f>
        <v>71.018589743589743</v>
      </c>
      <c r="U524" t="s">
        <v>1124</v>
      </c>
      <c r="V524" s="20">
        <v>435</v>
      </c>
      <c r="W524" s="19">
        <f>1000/V524</f>
        <v>2.2988505747126435</v>
      </c>
      <c r="X524" s="19">
        <f>8.33*W524</f>
        <v>19.149425287356319</v>
      </c>
      <c r="AK524" t="s">
        <v>1125</v>
      </c>
    </row>
    <row r="525" spans="1:37" x14ac:dyDescent="0.2">
      <c r="A525">
        <v>-180</v>
      </c>
      <c r="B525" s="10" t="s">
        <v>127</v>
      </c>
      <c r="C525" s="11" t="s">
        <v>42</v>
      </c>
      <c r="D525" s="15" t="s">
        <v>1126</v>
      </c>
      <c r="E525" s="13">
        <v>6</v>
      </c>
      <c r="F525" s="13">
        <v>3</v>
      </c>
      <c r="G525" s="13">
        <f t="shared" si="25"/>
        <v>59</v>
      </c>
      <c r="H525" s="13">
        <v>180</v>
      </c>
      <c r="I525" s="14">
        <f t="shared" si="26"/>
        <v>-179.82191780821918</v>
      </c>
      <c r="J525" s="15" t="s">
        <v>1127</v>
      </c>
      <c r="K525" s="10">
        <v>84</v>
      </c>
      <c r="L525" s="16">
        <v>84</v>
      </c>
      <c r="M525" s="16">
        <f>1000/L525</f>
        <v>11.904761904761905</v>
      </c>
      <c r="N525" s="16">
        <f>8.33*M525</f>
        <v>99.166666666666671</v>
      </c>
      <c r="O525" s="16">
        <f>1.613*N525</f>
        <v>159.95583333333335</v>
      </c>
      <c r="P525">
        <v>150</v>
      </c>
      <c r="Q525" s="17">
        <v>150</v>
      </c>
      <c r="R525" s="16">
        <f>1000/Q525</f>
        <v>6.666666666666667</v>
      </c>
      <c r="S525" s="16">
        <f>8.33*R525</f>
        <v>55.533333333333339</v>
      </c>
      <c r="T525" s="16">
        <f>S525*1.33</f>
        <v>73.859333333333339</v>
      </c>
    </row>
    <row r="526" spans="1:37" x14ac:dyDescent="0.2">
      <c r="A526">
        <v>-180</v>
      </c>
      <c r="B526" s="10" t="s">
        <v>127</v>
      </c>
      <c r="C526" s="11" t="s">
        <v>45</v>
      </c>
      <c r="D526" s="15" t="s">
        <v>1128</v>
      </c>
      <c r="E526" s="13">
        <v>16</v>
      </c>
      <c r="F526" s="13">
        <v>3</v>
      </c>
      <c r="G526" s="13">
        <f t="shared" si="25"/>
        <v>59</v>
      </c>
      <c r="H526" s="13">
        <v>180</v>
      </c>
      <c r="I526" s="14">
        <f t="shared" si="26"/>
        <v>-179.79452054794521</v>
      </c>
      <c r="J526" s="15" t="s">
        <v>1121</v>
      </c>
      <c r="K526" s="10">
        <v>78</v>
      </c>
      <c r="L526" s="16">
        <v>78</v>
      </c>
      <c r="M526" s="16">
        <f>1000/L526</f>
        <v>12.820512820512821</v>
      </c>
      <c r="N526" s="16">
        <f>8.33*M526</f>
        <v>106.7948717948718</v>
      </c>
      <c r="O526" s="16">
        <f>1.613*N526</f>
        <v>172.26012820512821</v>
      </c>
      <c r="P526">
        <v>144</v>
      </c>
      <c r="Q526" s="17">
        <v>144</v>
      </c>
      <c r="R526" s="16">
        <f>1000/Q526</f>
        <v>6.9444444444444446</v>
      </c>
      <c r="S526" s="16">
        <f>8.33*R526</f>
        <v>57.847222222222221</v>
      </c>
      <c r="T526" s="16">
        <f>S526*1.33</f>
        <v>76.936805555555566</v>
      </c>
    </row>
    <row r="527" spans="1:37" x14ac:dyDescent="0.2">
      <c r="A527">
        <v>-179</v>
      </c>
      <c r="B527" s="10" t="s">
        <v>130</v>
      </c>
      <c r="D527" s="15" t="s">
        <v>1129</v>
      </c>
      <c r="E527" s="13">
        <v>21</v>
      </c>
      <c r="F527" s="13">
        <v>6</v>
      </c>
      <c r="G527" s="13">
        <f t="shared" si="25"/>
        <v>151</v>
      </c>
      <c r="H527" s="13">
        <v>180</v>
      </c>
      <c r="I527" s="14">
        <f t="shared" si="26"/>
        <v>-179.52876712328768</v>
      </c>
      <c r="J527" s="15" t="s">
        <v>1130</v>
      </c>
      <c r="K527" s="10">
        <v>108</v>
      </c>
      <c r="L527" s="16">
        <v>108</v>
      </c>
      <c r="M527" s="16">
        <f>1000/L527</f>
        <v>9.2592592592592595</v>
      </c>
      <c r="N527" s="16">
        <f>8.33*M527</f>
        <v>77.129629629629633</v>
      </c>
      <c r="O527" s="16">
        <f>1.613*N527</f>
        <v>124.41009259259259</v>
      </c>
      <c r="Y527" s="1">
        <v>72</v>
      </c>
      <c r="Z527" s="9">
        <v>72</v>
      </c>
      <c r="AA527" s="8">
        <f>1000/Z527</f>
        <v>13.888888888888889</v>
      </c>
      <c r="AB527" s="8">
        <f>8.33*AA527</f>
        <v>115.69444444444444</v>
      </c>
      <c r="AC527" t="s">
        <v>41</v>
      </c>
    </row>
    <row r="528" spans="1:37" x14ac:dyDescent="0.2">
      <c r="A528">
        <v>-179</v>
      </c>
      <c r="B528" s="10" t="s">
        <v>285</v>
      </c>
      <c r="D528" s="15" t="s">
        <v>1131</v>
      </c>
      <c r="E528" s="13">
        <v>21</v>
      </c>
      <c r="F528" s="13">
        <v>7</v>
      </c>
      <c r="G528" s="13">
        <f t="shared" si="25"/>
        <v>181</v>
      </c>
      <c r="H528" s="13">
        <v>180</v>
      </c>
      <c r="I528" s="14">
        <f t="shared" si="26"/>
        <v>-179.44657534246576</v>
      </c>
      <c r="J528" s="15" t="s">
        <v>1132</v>
      </c>
      <c r="P528" s="1">
        <v>144</v>
      </c>
      <c r="Q528" s="9">
        <v>144</v>
      </c>
      <c r="R528" s="8">
        <f>1000/Q528</f>
        <v>6.9444444444444446</v>
      </c>
      <c r="S528" s="8">
        <f>8.33*R528</f>
        <v>57.847222222222221</v>
      </c>
      <c r="T528" s="16">
        <f>S528*1.33</f>
        <v>76.936805555555566</v>
      </c>
      <c r="Y528" s="1"/>
      <c r="Z528" s="9"/>
      <c r="AA528" s="8"/>
      <c r="AB528" s="8"/>
    </row>
    <row r="529" spans="1:37" x14ac:dyDescent="0.2">
      <c r="A529">
        <v>-179</v>
      </c>
      <c r="B529" s="10" t="s">
        <v>285</v>
      </c>
      <c r="C529" s="11" t="s">
        <v>39</v>
      </c>
      <c r="D529" s="15" t="s">
        <v>1131</v>
      </c>
      <c r="E529" s="13">
        <v>21</v>
      </c>
      <c r="F529" s="13">
        <v>7</v>
      </c>
      <c r="G529" s="13">
        <f t="shared" si="25"/>
        <v>181</v>
      </c>
      <c r="H529" s="13">
        <v>180</v>
      </c>
      <c r="I529" s="14">
        <f t="shared" si="26"/>
        <v>-179.44657534246576</v>
      </c>
      <c r="J529" s="15" t="s">
        <v>1133</v>
      </c>
      <c r="K529" s="10" t="s">
        <v>1134</v>
      </c>
      <c r="L529" s="19">
        <v>96</v>
      </c>
      <c r="M529" s="19">
        <f>1000/L529</f>
        <v>10.416666666666666</v>
      </c>
      <c r="N529" s="19">
        <f>8.33*M529</f>
        <v>86.770833333333329</v>
      </c>
      <c r="O529" s="19">
        <f>1.613*N529</f>
        <v>139.96135416666667</v>
      </c>
      <c r="T529" s="8"/>
      <c r="AA529" s="8"/>
      <c r="AB529" s="8"/>
    </row>
    <row r="530" spans="1:37" x14ac:dyDescent="0.2">
      <c r="A530">
        <v>-179</v>
      </c>
      <c r="B530" s="10" t="s">
        <v>285</v>
      </c>
      <c r="C530" s="11" t="s">
        <v>42</v>
      </c>
      <c r="D530" s="15" t="s">
        <v>1135</v>
      </c>
      <c r="E530" s="13">
        <v>31</v>
      </c>
      <c r="F530" s="13">
        <v>7</v>
      </c>
      <c r="G530" s="13">
        <f t="shared" si="25"/>
        <v>181</v>
      </c>
      <c r="H530" s="13">
        <v>180</v>
      </c>
      <c r="I530" s="14">
        <f t="shared" si="26"/>
        <v>-179.41917808219179</v>
      </c>
      <c r="J530" s="15" t="s">
        <v>1136</v>
      </c>
      <c r="K530" s="10" t="s">
        <v>1118</v>
      </c>
      <c r="T530" s="8"/>
      <c r="AA530" s="8"/>
      <c r="AB530" s="8"/>
    </row>
    <row r="531" spans="1:37" x14ac:dyDescent="0.2">
      <c r="A531">
        <v>-179</v>
      </c>
      <c r="B531" s="10" t="s">
        <v>285</v>
      </c>
      <c r="C531" s="11" t="s">
        <v>45</v>
      </c>
      <c r="D531" s="15" t="s">
        <v>1137</v>
      </c>
      <c r="E531" s="13">
        <v>10</v>
      </c>
      <c r="F531" s="13">
        <v>8</v>
      </c>
      <c r="G531" s="13">
        <f t="shared" si="25"/>
        <v>212</v>
      </c>
      <c r="H531" s="13">
        <v>180</v>
      </c>
      <c r="I531" s="14">
        <f t="shared" si="26"/>
        <v>-179.39178082191782</v>
      </c>
      <c r="J531" s="15" t="s">
        <v>1132</v>
      </c>
      <c r="K531" s="10">
        <v>102</v>
      </c>
      <c r="L531" s="16">
        <v>102</v>
      </c>
      <c r="M531" s="16">
        <f>1000/L531</f>
        <v>9.8039215686274517</v>
      </c>
      <c r="N531" s="16">
        <f>8.33*M531</f>
        <v>81.666666666666671</v>
      </c>
      <c r="O531" s="16">
        <f>1.613*N531</f>
        <v>131.72833333333335</v>
      </c>
      <c r="T531" s="8"/>
      <c r="AA531" s="8"/>
      <c r="AB531" s="8"/>
    </row>
    <row r="532" spans="1:37" x14ac:dyDescent="0.2">
      <c r="A532">
        <v>-179</v>
      </c>
      <c r="B532" s="10" t="s">
        <v>94</v>
      </c>
      <c r="D532" s="15" t="s">
        <v>1138</v>
      </c>
      <c r="E532" s="13">
        <v>17</v>
      </c>
      <c r="F532" s="13">
        <v>11</v>
      </c>
      <c r="G532" s="13">
        <f t="shared" si="25"/>
        <v>304</v>
      </c>
      <c r="H532" s="13">
        <v>180</v>
      </c>
      <c r="I532" s="14">
        <f t="shared" si="26"/>
        <v>-179.12054794520549</v>
      </c>
      <c r="J532" s="15" t="s">
        <v>1139</v>
      </c>
      <c r="T532" s="8"/>
      <c r="Y532" s="1">
        <v>60</v>
      </c>
      <c r="Z532" s="9">
        <v>60</v>
      </c>
      <c r="AA532" s="8">
        <f>1000/Z532</f>
        <v>16.666666666666668</v>
      </c>
      <c r="AB532" s="8">
        <f>8.33*AA532</f>
        <v>138.83333333333334</v>
      </c>
      <c r="AC532" t="s">
        <v>41</v>
      </c>
    </row>
    <row r="533" spans="1:37" x14ac:dyDescent="0.2">
      <c r="A533">
        <v>-179</v>
      </c>
      <c r="B533" s="10" t="s">
        <v>83</v>
      </c>
      <c r="D533" s="15" t="s">
        <v>1140</v>
      </c>
      <c r="E533" s="13">
        <v>13</v>
      </c>
      <c r="F533" s="13">
        <v>2</v>
      </c>
      <c r="G533" s="13">
        <f t="shared" si="25"/>
        <v>31</v>
      </c>
      <c r="H533" s="13">
        <v>179</v>
      </c>
      <c r="I533" s="14">
        <f t="shared" si="26"/>
        <v>-178.87945205479451</v>
      </c>
      <c r="J533" s="15" t="s">
        <v>1141</v>
      </c>
      <c r="K533" s="2">
        <v>96</v>
      </c>
      <c r="L533" s="8">
        <v>96</v>
      </c>
      <c r="M533" s="8">
        <f>1000/L533</f>
        <v>10.416666666666666</v>
      </c>
      <c r="N533" s="8">
        <f>8.33*M533</f>
        <v>86.770833333333329</v>
      </c>
      <c r="O533" s="8">
        <f>1.613*N533</f>
        <v>139.96135416666667</v>
      </c>
      <c r="P533" t="s">
        <v>1142</v>
      </c>
      <c r="T533" s="8"/>
      <c r="AA533" s="8"/>
      <c r="AB533" s="8"/>
    </row>
    <row r="534" spans="1:37" x14ac:dyDescent="0.2">
      <c r="A534">
        <v>-178</v>
      </c>
      <c r="B534" s="10" t="s">
        <v>285</v>
      </c>
      <c r="D534" s="15" t="s">
        <v>1143</v>
      </c>
      <c r="E534" s="13">
        <v>9</v>
      </c>
      <c r="F534" s="13">
        <v>8</v>
      </c>
      <c r="G534" s="13">
        <f t="shared" si="25"/>
        <v>212</v>
      </c>
      <c r="H534" s="13">
        <v>179</v>
      </c>
      <c r="I534" s="14">
        <f t="shared" si="26"/>
        <v>-178.39452054794521</v>
      </c>
      <c r="J534" s="15" t="s">
        <v>1144</v>
      </c>
      <c r="T534" s="8"/>
      <c r="U534" t="s">
        <v>1145</v>
      </c>
      <c r="V534" s="20">
        <v>590</v>
      </c>
      <c r="W534" s="19">
        <f>1000/V534</f>
        <v>1.6949152542372881</v>
      </c>
      <c r="X534" s="19">
        <f>8.33*W534</f>
        <v>14.118644067796609</v>
      </c>
      <c r="AA534" s="8"/>
      <c r="AB534" s="8"/>
    </row>
    <row r="535" spans="1:37" x14ac:dyDescent="0.2">
      <c r="A535">
        <v>-178</v>
      </c>
      <c r="B535" s="10" t="s">
        <v>127</v>
      </c>
      <c r="D535" s="15" t="s">
        <v>1146</v>
      </c>
      <c r="E535" s="13">
        <v>4</v>
      </c>
      <c r="F535" s="13">
        <v>3</v>
      </c>
      <c r="G535" s="13">
        <f t="shared" si="25"/>
        <v>59</v>
      </c>
      <c r="H535" s="13">
        <v>178</v>
      </c>
      <c r="I535" s="14">
        <f t="shared" si="26"/>
        <v>-177.82739726027398</v>
      </c>
      <c r="J535" s="15" t="s">
        <v>1147</v>
      </c>
      <c r="T535" s="8"/>
      <c r="U535" s="1">
        <v>450</v>
      </c>
      <c r="V535" s="9">
        <v>450</v>
      </c>
      <c r="W535" s="8">
        <f>1000/V535</f>
        <v>2.2222222222222223</v>
      </c>
      <c r="X535" s="8">
        <f>8.33*W535</f>
        <v>18.511111111111113</v>
      </c>
      <c r="Y535" s="1">
        <v>60</v>
      </c>
      <c r="Z535" s="9">
        <v>60</v>
      </c>
      <c r="AA535" s="8">
        <f>1000/Z535</f>
        <v>16.666666666666668</v>
      </c>
      <c r="AB535" s="8">
        <f>8.33*AA535</f>
        <v>138.83333333333334</v>
      </c>
      <c r="AC535" s="1">
        <v>18</v>
      </c>
      <c r="AD535" s="9">
        <v>18</v>
      </c>
      <c r="AE535" s="16">
        <f>1000/AD535</f>
        <v>55.555555555555557</v>
      </c>
      <c r="AF535" s="16">
        <f>8.33*AE535</f>
        <v>462.77777777777777</v>
      </c>
      <c r="AG535" s="1" t="s">
        <v>41</v>
      </c>
    </row>
    <row r="536" spans="1:37" x14ac:dyDescent="0.2">
      <c r="A536">
        <v>-178</v>
      </c>
      <c r="B536" s="10" t="s">
        <v>127</v>
      </c>
      <c r="C536" s="11" t="s">
        <v>39</v>
      </c>
      <c r="D536" s="15" t="s">
        <v>1146</v>
      </c>
      <c r="E536" s="13">
        <v>4</v>
      </c>
      <c r="F536" s="13">
        <v>3</v>
      </c>
      <c r="G536" s="13">
        <f t="shared" si="25"/>
        <v>59</v>
      </c>
      <c r="H536" s="13">
        <v>178</v>
      </c>
      <c r="I536" s="14">
        <f t="shared" si="26"/>
        <v>-177.82739726027398</v>
      </c>
      <c r="J536" s="15" t="s">
        <v>1148</v>
      </c>
      <c r="K536" s="10">
        <v>81</v>
      </c>
      <c r="L536" s="16">
        <v>81</v>
      </c>
      <c r="M536" s="16">
        <f>1000/L536</f>
        <v>12.345679012345679</v>
      </c>
      <c r="N536" s="16">
        <f>8.33*M536</f>
        <v>102.83950617283951</v>
      </c>
      <c r="O536" s="16">
        <f>1.613*N536</f>
        <v>165.88012345679013</v>
      </c>
      <c r="P536">
        <v>180</v>
      </c>
      <c r="Q536" s="17">
        <v>180</v>
      </c>
      <c r="R536" s="16">
        <f>1000/Q536</f>
        <v>5.5555555555555554</v>
      </c>
      <c r="S536" s="16">
        <f>8.33*R536</f>
        <v>46.277777777777779</v>
      </c>
      <c r="T536" s="16">
        <f>S536*1.33</f>
        <v>61.549444444444447</v>
      </c>
      <c r="AH536" s="9"/>
    </row>
    <row r="537" spans="1:37" x14ac:dyDescent="0.2">
      <c r="A537">
        <v>-178</v>
      </c>
      <c r="B537" s="10" t="s">
        <v>127</v>
      </c>
      <c r="C537" s="11" t="s">
        <v>42</v>
      </c>
      <c r="D537" s="15" t="s">
        <v>1149</v>
      </c>
      <c r="E537" s="13">
        <v>14</v>
      </c>
      <c r="F537" s="13">
        <v>3</v>
      </c>
      <c r="G537" s="13">
        <f t="shared" si="25"/>
        <v>59</v>
      </c>
      <c r="H537" s="13">
        <v>178</v>
      </c>
      <c r="I537" s="14">
        <f t="shared" si="26"/>
        <v>-177.8</v>
      </c>
      <c r="J537" s="15" t="s">
        <v>1150</v>
      </c>
      <c r="K537" s="10" t="s">
        <v>41</v>
      </c>
      <c r="P537" t="s">
        <v>1151</v>
      </c>
      <c r="Q537" s="20">
        <v>162</v>
      </c>
      <c r="R537" s="19">
        <f>1000/Q537</f>
        <v>6.1728395061728394</v>
      </c>
      <c r="S537" s="19">
        <f>8.33*R537</f>
        <v>51.419753086419753</v>
      </c>
      <c r="T537" s="19">
        <f>S537*1.33</f>
        <v>68.388271604938282</v>
      </c>
    </row>
    <row r="538" spans="1:37" x14ac:dyDescent="0.2">
      <c r="A538">
        <v>-178</v>
      </c>
      <c r="B538" s="10" t="s">
        <v>127</v>
      </c>
      <c r="C538" s="11" t="s">
        <v>45</v>
      </c>
      <c r="D538" s="15" t="s">
        <v>1152</v>
      </c>
      <c r="E538" s="13">
        <v>24</v>
      </c>
      <c r="F538" s="13">
        <v>3</v>
      </c>
      <c r="G538" s="13">
        <f t="shared" si="25"/>
        <v>59</v>
      </c>
      <c r="H538" s="13">
        <v>178</v>
      </c>
      <c r="I538" s="14">
        <f t="shared" si="26"/>
        <v>-177.77260273972604</v>
      </c>
      <c r="J538" s="15" t="s">
        <v>1147</v>
      </c>
      <c r="K538" s="10">
        <v>78</v>
      </c>
      <c r="L538" s="16">
        <v>78</v>
      </c>
      <c r="M538" s="16">
        <f>1000/L538</f>
        <v>12.820512820512821</v>
      </c>
      <c r="N538" s="16">
        <f>8.33*M538</f>
        <v>106.7948717948718</v>
      </c>
      <c r="O538" s="16">
        <f>1.613*N538</f>
        <v>172.26012820512821</v>
      </c>
      <c r="P538">
        <v>168</v>
      </c>
      <c r="Q538" s="17">
        <v>168</v>
      </c>
      <c r="R538" s="16">
        <f>1000/Q538</f>
        <v>5.9523809523809526</v>
      </c>
      <c r="S538" s="16">
        <f>8.33*R538</f>
        <v>49.583333333333336</v>
      </c>
      <c r="T538" s="16">
        <f>S538*1.33</f>
        <v>65.94583333333334</v>
      </c>
    </row>
    <row r="539" spans="1:37" x14ac:dyDescent="0.2">
      <c r="A539">
        <v>-177</v>
      </c>
      <c r="B539" s="10" t="s">
        <v>75</v>
      </c>
      <c r="D539" s="15" t="s">
        <v>1153</v>
      </c>
      <c r="E539" s="13">
        <v>24</v>
      </c>
      <c r="F539" s="13">
        <v>12</v>
      </c>
      <c r="G539" s="13">
        <f t="shared" si="25"/>
        <v>334</v>
      </c>
      <c r="H539" s="13">
        <v>178</v>
      </c>
      <c r="I539" s="14">
        <f t="shared" si="26"/>
        <v>-177.01917808219179</v>
      </c>
      <c r="J539" s="15" t="s">
        <v>1154</v>
      </c>
      <c r="AG539" s="1" t="s">
        <v>1155</v>
      </c>
    </row>
    <row r="540" spans="1:37" x14ac:dyDescent="0.2">
      <c r="A540">
        <v>-177</v>
      </c>
      <c r="B540" s="10" t="s">
        <v>75</v>
      </c>
      <c r="C540" s="11" t="s">
        <v>39</v>
      </c>
      <c r="D540" s="15" t="s">
        <v>1153</v>
      </c>
      <c r="E540" s="13">
        <v>24</v>
      </c>
      <c r="F540" s="13">
        <v>12</v>
      </c>
      <c r="G540" s="13">
        <f t="shared" si="25"/>
        <v>334</v>
      </c>
      <c r="H540" s="13">
        <v>178</v>
      </c>
      <c r="I540" s="14">
        <f t="shared" si="26"/>
        <v>-177.01917808219179</v>
      </c>
      <c r="J540" s="15" t="s">
        <v>1156</v>
      </c>
      <c r="K540" s="10">
        <v>64</v>
      </c>
      <c r="L540" s="16">
        <v>64</v>
      </c>
      <c r="M540" s="16">
        <f>1000/L540</f>
        <v>15.625</v>
      </c>
      <c r="N540" s="16">
        <f>8.33*M540</f>
        <v>130.15625</v>
      </c>
      <c r="O540" s="16">
        <f>1.613*N540</f>
        <v>209.94203124999999</v>
      </c>
      <c r="AC540">
        <v>30</v>
      </c>
      <c r="AD540" s="17">
        <v>30</v>
      </c>
      <c r="AE540" s="16">
        <f>1000/AD540</f>
        <v>33.333333333333336</v>
      </c>
      <c r="AF540" s="16">
        <f>8.33*AE540</f>
        <v>277.66666666666669</v>
      </c>
      <c r="AH540" s="9"/>
    </row>
    <row r="541" spans="1:37" x14ac:dyDescent="0.2">
      <c r="A541">
        <v>-177</v>
      </c>
      <c r="B541" s="10" t="s">
        <v>75</v>
      </c>
      <c r="C541" s="11" t="s">
        <v>42</v>
      </c>
      <c r="D541" s="15" t="s">
        <v>1157</v>
      </c>
      <c r="E541" s="13">
        <v>3</v>
      </c>
      <c r="F541" s="13">
        <v>1</v>
      </c>
      <c r="G541" s="13">
        <f t="shared" si="25"/>
        <v>0</v>
      </c>
      <c r="H541" s="13">
        <v>177</v>
      </c>
      <c r="I541" s="14">
        <f t="shared" si="26"/>
        <v>-176.99178082191781</v>
      </c>
      <c r="J541" s="15" t="s">
        <v>1158</v>
      </c>
      <c r="K541" s="10" t="s">
        <v>1118</v>
      </c>
    </row>
    <row r="542" spans="1:37" x14ac:dyDescent="0.2">
      <c r="A542">
        <v>-177</v>
      </c>
      <c r="B542" s="10" t="s">
        <v>75</v>
      </c>
      <c r="C542" s="11" t="s">
        <v>45</v>
      </c>
      <c r="D542" s="15" t="s">
        <v>1159</v>
      </c>
      <c r="E542" s="13">
        <v>13</v>
      </c>
      <c r="F542" s="13">
        <v>1</v>
      </c>
      <c r="G542" s="13">
        <f t="shared" si="25"/>
        <v>0</v>
      </c>
      <c r="H542" s="13">
        <v>177</v>
      </c>
      <c r="I542" s="14">
        <f t="shared" si="26"/>
        <v>-176.96438356164384</v>
      </c>
      <c r="J542" s="15" t="s">
        <v>1154</v>
      </c>
      <c r="K542" s="10" t="s">
        <v>1160</v>
      </c>
      <c r="L542" s="19">
        <v>61</v>
      </c>
      <c r="M542" s="19">
        <f>1000/L542</f>
        <v>16.393442622950818</v>
      </c>
      <c r="N542" s="19">
        <f>8.33*M542</f>
        <v>136.55737704918033</v>
      </c>
      <c r="O542" s="19">
        <f>1.613*N542</f>
        <v>220.26704918032786</v>
      </c>
      <c r="P542" t="s">
        <v>1161</v>
      </c>
      <c r="Q542" s="20">
        <v>180</v>
      </c>
      <c r="R542" s="19">
        <f>1000/Q542</f>
        <v>5.5555555555555554</v>
      </c>
      <c r="S542" s="19">
        <f>8.33*R542</f>
        <v>46.277777777777779</v>
      </c>
      <c r="T542" s="16">
        <f>S542*1.33</f>
        <v>61.549444444444447</v>
      </c>
      <c r="AK542" t="s">
        <v>1162</v>
      </c>
    </row>
    <row r="543" spans="1:37" x14ac:dyDescent="0.2">
      <c r="A543">
        <v>-176</v>
      </c>
      <c r="B543" s="10" t="s">
        <v>72</v>
      </c>
      <c r="D543" s="15" t="s">
        <v>1163</v>
      </c>
      <c r="E543" s="13">
        <v>14</v>
      </c>
      <c r="F543" s="13">
        <v>9</v>
      </c>
      <c r="G543" s="13">
        <f t="shared" si="25"/>
        <v>243</v>
      </c>
      <c r="H543" s="13">
        <v>177</v>
      </c>
      <c r="I543" s="14">
        <f t="shared" si="26"/>
        <v>-176.29589041095889</v>
      </c>
      <c r="J543" s="15" t="s">
        <v>1164</v>
      </c>
      <c r="T543" s="8"/>
      <c r="Y543" s="1">
        <v>54</v>
      </c>
      <c r="Z543" s="9">
        <v>54</v>
      </c>
      <c r="AA543" s="8">
        <f>1000/Z543</f>
        <v>18.518518518518519</v>
      </c>
      <c r="AB543" s="8">
        <f>8.33*AA543</f>
        <v>154.25925925925927</v>
      </c>
      <c r="AC543" s="1" t="s">
        <v>41</v>
      </c>
      <c r="AD543" s="9"/>
      <c r="AE543" s="8"/>
      <c r="AF543" s="8"/>
    </row>
    <row r="544" spans="1:37" x14ac:dyDescent="0.2">
      <c r="A544">
        <v>-173</v>
      </c>
      <c r="B544" s="10" t="s">
        <v>91</v>
      </c>
      <c r="D544" s="15" t="s">
        <v>1165</v>
      </c>
      <c r="E544" s="13">
        <v>12</v>
      </c>
      <c r="F544" s="13">
        <v>10</v>
      </c>
      <c r="G544" s="13">
        <f t="shared" si="25"/>
        <v>273</v>
      </c>
      <c r="H544" s="13">
        <v>174</v>
      </c>
      <c r="I544" s="14">
        <f t="shared" si="26"/>
        <v>-173.21917808219177</v>
      </c>
      <c r="J544" s="15" t="s">
        <v>1166</v>
      </c>
      <c r="T544" s="8"/>
      <c r="Y544" s="1">
        <v>120</v>
      </c>
      <c r="Z544" s="9">
        <v>120</v>
      </c>
      <c r="AA544" s="8">
        <f>1000/Z544</f>
        <v>8.3333333333333339</v>
      </c>
      <c r="AB544" s="8">
        <f>8.33*AA544</f>
        <v>69.416666666666671</v>
      </c>
      <c r="AC544" s="1">
        <v>36</v>
      </c>
      <c r="AD544" s="9">
        <v>36</v>
      </c>
      <c r="AE544" s="8">
        <f>1000/AD544</f>
        <v>27.777777777777779</v>
      </c>
      <c r="AF544" s="8">
        <f>8.33*AE544</f>
        <v>231.38888888888889</v>
      </c>
      <c r="AG544" s="1">
        <v>3</v>
      </c>
      <c r="AH544" s="9">
        <v>3</v>
      </c>
      <c r="AI544" s="8">
        <f>1/AH544</f>
        <v>0.33333333333333331</v>
      </c>
      <c r="AJ544" s="8">
        <f>8.33*AI544</f>
        <v>2.7766666666666664</v>
      </c>
    </row>
    <row r="545" spans="1:37" x14ac:dyDescent="0.2">
      <c r="A545">
        <v>-173</v>
      </c>
      <c r="B545" s="10" t="s">
        <v>94</v>
      </c>
      <c r="D545" s="15" t="s">
        <v>1167</v>
      </c>
      <c r="E545" s="13">
        <v>11</v>
      </c>
      <c r="F545" s="13">
        <v>11</v>
      </c>
      <c r="G545" s="13">
        <f t="shared" si="25"/>
        <v>304</v>
      </c>
      <c r="H545" s="13">
        <v>174</v>
      </c>
      <c r="I545" s="14">
        <f t="shared" si="26"/>
        <v>-173.13698630136986</v>
      </c>
      <c r="J545" s="15" t="s">
        <v>1168</v>
      </c>
      <c r="K545" s="2">
        <v>84</v>
      </c>
      <c r="L545" s="8">
        <v>84</v>
      </c>
      <c r="M545" s="8">
        <f>1000/L545</f>
        <v>11.904761904761905</v>
      </c>
      <c r="N545" s="8">
        <f>8.33*M545</f>
        <v>99.166666666666671</v>
      </c>
      <c r="O545" s="8">
        <f>1.613*N545</f>
        <v>159.95583333333335</v>
      </c>
      <c r="P545" s="1">
        <v>300</v>
      </c>
      <c r="Q545" s="9">
        <v>300</v>
      </c>
      <c r="R545" s="8">
        <f>1000/Q545</f>
        <v>3.3333333333333335</v>
      </c>
      <c r="S545" s="8">
        <f>8.33*R545</f>
        <v>27.766666666666669</v>
      </c>
      <c r="T545" s="22">
        <f>S545*1.33</f>
        <v>36.92966666666667</v>
      </c>
      <c r="U545" s="1">
        <v>540</v>
      </c>
      <c r="V545" s="9">
        <v>540</v>
      </c>
      <c r="W545" s="8">
        <f>1000/V545</f>
        <v>1.8518518518518519</v>
      </c>
      <c r="X545" s="8">
        <f>8.33*W545</f>
        <v>15.425925925925926</v>
      </c>
      <c r="Y545" s="1">
        <v>60</v>
      </c>
      <c r="Z545" s="9">
        <v>60</v>
      </c>
      <c r="AA545" s="8">
        <f>1000/Z545</f>
        <v>16.666666666666668</v>
      </c>
      <c r="AB545" s="8">
        <f>8.33*AA545</f>
        <v>138.83333333333334</v>
      </c>
      <c r="AC545" s="1">
        <v>36</v>
      </c>
      <c r="AD545" s="9">
        <v>36</v>
      </c>
      <c r="AE545" s="8">
        <f>1000/AD545</f>
        <v>27.777777777777779</v>
      </c>
      <c r="AF545" s="8">
        <f>8.33*AE545</f>
        <v>231.38888888888889</v>
      </c>
      <c r="AG545" t="s">
        <v>41</v>
      </c>
    </row>
    <row r="546" spans="1:37" x14ac:dyDescent="0.2">
      <c r="A546">
        <v>-173</v>
      </c>
      <c r="B546" s="10" t="s">
        <v>36</v>
      </c>
      <c r="D546" s="15" t="s">
        <v>1169</v>
      </c>
      <c r="E546" s="13">
        <v>10</v>
      </c>
      <c r="F546" s="13">
        <v>12</v>
      </c>
      <c r="G546" s="13">
        <f t="shared" si="25"/>
        <v>334</v>
      </c>
      <c r="H546" s="13">
        <v>174</v>
      </c>
      <c r="I546" s="14">
        <f t="shared" si="26"/>
        <v>-173.05753424657533</v>
      </c>
      <c r="J546" s="15" t="s">
        <v>1170</v>
      </c>
      <c r="K546" s="2"/>
      <c r="L546" s="8"/>
      <c r="P546" s="1"/>
      <c r="Q546" s="9"/>
      <c r="T546" s="8"/>
      <c r="U546" s="1">
        <v>540</v>
      </c>
      <c r="V546" s="9">
        <v>540</v>
      </c>
      <c r="W546" s="8">
        <f>1000/V546</f>
        <v>1.8518518518518519</v>
      </c>
      <c r="X546" s="8">
        <f>8.33*W546</f>
        <v>15.425925925925926</v>
      </c>
      <c r="Y546" s="1">
        <v>60</v>
      </c>
      <c r="Z546" s="9">
        <v>60</v>
      </c>
      <c r="AA546" s="8">
        <f>1000/Z546</f>
        <v>16.666666666666668</v>
      </c>
      <c r="AB546" s="8">
        <f>8.33*AA546</f>
        <v>138.83333333333334</v>
      </c>
      <c r="AC546" s="1"/>
      <c r="AD546" s="9"/>
      <c r="AE546" s="8"/>
      <c r="AF546" s="8"/>
    </row>
    <row r="547" spans="1:37" x14ac:dyDescent="0.2">
      <c r="A547">
        <v>-173</v>
      </c>
      <c r="B547" s="10" t="s">
        <v>36</v>
      </c>
      <c r="C547" s="11" t="s">
        <v>39</v>
      </c>
      <c r="D547" s="15" t="s">
        <v>1169</v>
      </c>
      <c r="E547" s="13">
        <v>10</v>
      </c>
      <c r="F547" s="13">
        <v>12</v>
      </c>
      <c r="G547" s="13">
        <f t="shared" si="25"/>
        <v>334</v>
      </c>
      <c r="H547" s="13">
        <v>174</v>
      </c>
      <c r="I547" s="14">
        <f t="shared" si="26"/>
        <v>-173.05753424657533</v>
      </c>
      <c r="J547" s="15" t="s">
        <v>1171</v>
      </c>
      <c r="T547" s="8"/>
      <c r="AC547" t="s">
        <v>41</v>
      </c>
    </row>
    <row r="548" spans="1:37" x14ac:dyDescent="0.2">
      <c r="A548">
        <v>-173</v>
      </c>
      <c r="B548" s="10" t="s">
        <v>36</v>
      </c>
      <c r="C548" s="11" t="s">
        <v>42</v>
      </c>
      <c r="D548" s="15" t="s">
        <v>1172</v>
      </c>
      <c r="E548" s="13">
        <v>20</v>
      </c>
      <c r="F548" s="13">
        <v>12</v>
      </c>
      <c r="G548" s="13">
        <f t="shared" si="25"/>
        <v>334</v>
      </c>
      <c r="H548" s="13">
        <v>174</v>
      </c>
      <c r="I548" s="14">
        <f t="shared" si="26"/>
        <v>-173.03013698630136</v>
      </c>
      <c r="J548" s="15" t="s">
        <v>1173</v>
      </c>
      <c r="P548" t="s">
        <v>1118</v>
      </c>
      <c r="T548" s="8"/>
    </row>
    <row r="549" spans="1:37" x14ac:dyDescent="0.2">
      <c r="A549">
        <v>-173</v>
      </c>
      <c r="B549" s="10" t="s">
        <v>36</v>
      </c>
      <c r="C549" s="11" t="s">
        <v>45</v>
      </c>
      <c r="D549" s="15" t="s">
        <v>1174</v>
      </c>
      <c r="E549" s="13">
        <v>30</v>
      </c>
      <c r="F549" s="13">
        <v>12</v>
      </c>
      <c r="G549" s="13">
        <f t="shared" si="25"/>
        <v>334</v>
      </c>
      <c r="H549" s="13">
        <v>174</v>
      </c>
      <c r="I549" s="14">
        <f t="shared" si="26"/>
        <v>-173.00273972602739</v>
      </c>
      <c r="J549" s="15" t="s">
        <v>1170</v>
      </c>
      <c r="P549">
        <v>330</v>
      </c>
      <c r="Q549" s="17">
        <v>330</v>
      </c>
      <c r="R549" s="16">
        <f>1000/Q549</f>
        <v>3.0303030303030303</v>
      </c>
      <c r="S549" s="16">
        <f>8.33*R549</f>
        <v>25.242424242424242</v>
      </c>
      <c r="T549" s="16">
        <f>S549*1.33</f>
        <v>33.572424242424241</v>
      </c>
    </row>
    <row r="550" spans="1:37" x14ac:dyDescent="0.2">
      <c r="A550">
        <v>-173</v>
      </c>
      <c r="B550" s="10" t="s">
        <v>127</v>
      </c>
      <c r="D550" s="15" t="s">
        <v>1175</v>
      </c>
      <c r="E550" s="13">
        <v>7</v>
      </c>
      <c r="F550" s="13">
        <v>3</v>
      </c>
      <c r="G550" s="13">
        <f t="shared" si="25"/>
        <v>59</v>
      </c>
      <c r="H550" s="13">
        <v>173</v>
      </c>
      <c r="I550" s="14">
        <f t="shared" si="26"/>
        <v>-172.81917808219177</v>
      </c>
      <c r="J550" s="15" t="s">
        <v>1176</v>
      </c>
      <c r="K550" s="10" t="s">
        <v>41</v>
      </c>
      <c r="T550" s="8"/>
      <c r="AC550" s="1">
        <v>39</v>
      </c>
      <c r="AD550" s="9">
        <v>39</v>
      </c>
      <c r="AE550" s="8">
        <f t="shared" ref="AE550:AE556" si="27">1000/AD550</f>
        <v>25.641025641025642</v>
      </c>
      <c r="AF550" s="8">
        <f t="shared" ref="AF550:AF556" si="28">8.33*AE550</f>
        <v>213.58974358974359</v>
      </c>
      <c r="AG550" s="1">
        <v>3.5</v>
      </c>
      <c r="AH550" s="9">
        <v>3.5</v>
      </c>
      <c r="AI550" s="8">
        <f>1/AH550</f>
        <v>0.2857142857142857</v>
      </c>
      <c r="AJ550" s="8">
        <f>8.33*AI550</f>
        <v>2.38</v>
      </c>
    </row>
    <row r="551" spans="1:37" x14ac:dyDescent="0.2">
      <c r="A551">
        <v>-171</v>
      </c>
      <c r="B551" s="10" t="s">
        <v>1177</v>
      </c>
      <c r="D551" s="15" t="s">
        <v>1178</v>
      </c>
      <c r="E551" s="13">
        <v>16</v>
      </c>
      <c r="F551" s="13">
        <v>3</v>
      </c>
      <c r="G551" s="13">
        <f t="shared" si="25"/>
        <v>59</v>
      </c>
      <c r="H551" s="13">
        <v>171</v>
      </c>
      <c r="I551" s="14">
        <f t="shared" si="26"/>
        <v>-170.79452054794521</v>
      </c>
      <c r="J551" s="15" t="s">
        <v>1179</v>
      </c>
      <c r="P551" s="1">
        <v>270</v>
      </c>
      <c r="Q551" s="9">
        <v>270</v>
      </c>
      <c r="R551" s="8">
        <f>1000/Q551</f>
        <v>3.7037037037037037</v>
      </c>
      <c r="S551" s="8">
        <f>8.33*R551</f>
        <v>30.851851851851851</v>
      </c>
      <c r="T551" s="8">
        <f>S551*1.33</f>
        <v>41.032962962962962</v>
      </c>
      <c r="U551" s="1">
        <v>630</v>
      </c>
      <c r="V551" s="9">
        <v>630</v>
      </c>
      <c r="W551" s="8">
        <f>1000/V551</f>
        <v>1.5873015873015872</v>
      </c>
      <c r="X551" s="8">
        <f>8.33*W551</f>
        <v>13.222222222222221</v>
      </c>
      <c r="Y551" s="1">
        <v>108</v>
      </c>
      <c r="Z551" s="9">
        <v>108</v>
      </c>
      <c r="AA551" s="8">
        <f>1000/Z551</f>
        <v>9.2592592592592595</v>
      </c>
      <c r="AB551" s="8">
        <f>8.33*AA551</f>
        <v>77.129629629629633</v>
      </c>
      <c r="AC551" s="1">
        <v>30</v>
      </c>
      <c r="AD551" s="9">
        <v>30</v>
      </c>
      <c r="AE551" s="8">
        <f t="shared" si="27"/>
        <v>33.333333333333336</v>
      </c>
      <c r="AF551" s="8">
        <f t="shared" si="28"/>
        <v>277.66666666666669</v>
      </c>
      <c r="AG551" t="s">
        <v>41</v>
      </c>
      <c r="AK551" t="s">
        <v>1180</v>
      </c>
    </row>
    <row r="552" spans="1:37" x14ac:dyDescent="0.2">
      <c r="A552">
        <v>-170</v>
      </c>
      <c r="B552" s="10" t="s">
        <v>47</v>
      </c>
      <c r="D552" s="15" t="s">
        <v>1181</v>
      </c>
      <c r="E552" s="13">
        <v>14</v>
      </c>
      <c r="F552" s="13">
        <v>5</v>
      </c>
      <c r="G552" s="13">
        <f t="shared" si="25"/>
        <v>120</v>
      </c>
      <c r="H552" s="13">
        <v>171</v>
      </c>
      <c r="I552" s="14">
        <f t="shared" si="26"/>
        <v>-170.63287671232877</v>
      </c>
      <c r="J552" s="15" t="s">
        <v>1182</v>
      </c>
      <c r="T552" s="8"/>
      <c r="Y552" t="s">
        <v>1183</v>
      </c>
      <c r="Z552" s="20">
        <v>90</v>
      </c>
      <c r="AA552" s="19">
        <f>1000/Z552</f>
        <v>11.111111111111111</v>
      </c>
      <c r="AB552" s="19">
        <f>8.33*AA552</f>
        <v>92.555555555555557</v>
      </c>
      <c r="AC552" s="1">
        <v>24</v>
      </c>
      <c r="AD552" s="9">
        <v>24</v>
      </c>
      <c r="AE552" s="8">
        <f t="shared" si="27"/>
        <v>41.666666666666664</v>
      </c>
      <c r="AF552" s="8">
        <f t="shared" si="28"/>
        <v>347.08333333333331</v>
      </c>
      <c r="AG552" s="1">
        <v>4.5</v>
      </c>
      <c r="AH552" s="9">
        <v>4.5</v>
      </c>
      <c r="AI552" s="8">
        <f>1/AH552</f>
        <v>0.22222222222222221</v>
      </c>
      <c r="AJ552" s="8">
        <f>8.33*AI552</f>
        <v>1.8511111111111109</v>
      </c>
    </row>
    <row r="553" spans="1:37" x14ac:dyDescent="0.2">
      <c r="A553">
        <v>-170</v>
      </c>
      <c r="B553" s="10" t="s">
        <v>65</v>
      </c>
      <c r="D553" s="15" t="s">
        <v>1184</v>
      </c>
      <c r="E553" s="13">
        <v>13</v>
      </c>
      <c r="F553" s="13">
        <v>6</v>
      </c>
      <c r="G553" s="13">
        <f t="shared" si="25"/>
        <v>151</v>
      </c>
      <c r="H553" s="13">
        <v>171</v>
      </c>
      <c r="I553" s="14">
        <f t="shared" si="26"/>
        <v>-170.55068493150685</v>
      </c>
      <c r="J553" s="15" t="s">
        <v>1185</v>
      </c>
      <c r="T553" s="8"/>
      <c r="Y553" s="1" t="s">
        <v>1186</v>
      </c>
      <c r="Z553" s="21">
        <v>84</v>
      </c>
      <c r="AA553" s="22">
        <f>1000/Z553</f>
        <v>11.904761904761905</v>
      </c>
      <c r="AB553" s="22">
        <f>8.33*AA553</f>
        <v>99.166666666666671</v>
      </c>
      <c r="AC553">
        <v>21</v>
      </c>
      <c r="AD553" s="17">
        <v>21</v>
      </c>
      <c r="AE553" s="16">
        <f t="shared" si="27"/>
        <v>47.61904761904762</v>
      </c>
      <c r="AF553" s="16">
        <f t="shared" si="28"/>
        <v>396.66666666666669</v>
      </c>
    </row>
    <row r="554" spans="1:37" x14ac:dyDescent="0.2">
      <c r="A554">
        <v>-170</v>
      </c>
      <c r="B554" s="10" t="s">
        <v>130</v>
      </c>
      <c r="D554" s="15" t="s">
        <v>1187</v>
      </c>
      <c r="E554" s="13">
        <v>12</v>
      </c>
      <c r="F554" s="13">
        <v>7</v>
      </c>
      <c r="G554" s="13">
        <f t="shared" si="25"/>
        <v>181</v>
      </c>
      <c r="H554" s="13">
        <v>171</v>
      </c>
      <c r="I554" s="14">
        <f t="shared" si="26"/>
        <v>-170.47123287671232</v>
      </c>
      <c r="J554" s="15" t="s">
        <v>1188</v>
      </c>
      <c r="T554" s="8"/>
      <c r="AC554" t="s">
        <v>1189</v>
      </c>
      <c r="AD554" s="20">
        <v>30</v>
      </c>
      <c r="AE554" s="19">
        <f t="shared" si="27"/>
        <v>33.333333333333336</v>
      </c>
      <c r="AF554" s="19">
        <f t="shared" si="28"/>
        <v>277.66666666666669</v>
      </c>
      <c r="AG554" s="1">
        <v>4</v>
      </c>
      <c r="AH554" s="9">
        <v>4</v>
      </c>
      <c r="AI554" s="8">
        <f>1/AH554</f>
        <v>0.25</v>
      </c>
      <c r="AJ554" s="8">
        <f>8.33*AI554</f>
        <v>2.0825</v>
      </c>
    </row>
    <row r="555" spans="1:37" x14ac:dyDescent="0.2">
      <c r="A555">
        <v>-170</v>
      </c>
      <c r="B555" s="10" t="s">
        <v>285</v>
      </c>
      <c r="D555" s="15" t="s">
        <v>1190</v>
      </c>
      <c r="E555" s="13">
        <v>10</v>
      </c>
      <c r="F555" s="13">
        <v>8</v>
      </c>
      <c r="G555" s="13">
        <f t="shared" si="25"/>
        <v>212</v>
      </c>
      <c r="H555" s="13">
        <v>171</v>
      </c>
      <c r="I555" s="14">
        <f t="shared" si="26"/>
        <v>-170.39178082191782</v>
      </c>
      <c r="J555" s="15" t="s">
        <v>1191</v>
      </c>
      <c r="T555" s="8"/>
      <c r="AC555" s="1">
        <v>24</v>
      </c>
      <c r="AD555" s="9">
        <v>24</v>
      </c>
      <c r="AE555" s="8">
        <f t="shared" si="27"/>
        <v>41.666666666666664</v>
      </c>
      <c r="AF555" s="8">
        <f t="shared" si="28"/>
        <v>347.08333333333331</v>
      </c>
      <c r="AG555" s="1">
        <v>5</v>
      </c>
      <c r="AH555" s="9">
        <v>5</v>
      </c>
      <c r="AI555" s="8">
        <f>1/AH555</f>
        <v>0.2</v>
      </c>
      <c r="AJ555" s="8">
        <f>8.33*AI555</f>
        <v>1.6660000000000001</v>
      </c>
    </row>
    <row r="556" spans="1:37" x14ac:dyDescent="0.2">
      <c r="A556">
        <v>-170</v>
      </c>
      <c r="B556" s="10" t="s">
        <v>91</v>
      </c>
      <c r="D556" s="15" t="s">
        <v>1192</v>
      </c>
      <c r="E556" s="13">
        <v>9</v>
      </c>
      <c r="F556" s="13">
        <v>10</v>
      </c>
      <c r="G556" s="13">
        <f t="shared" si="25"/>
        <v>273</v>
      </c>
      <c r="H556" s="13">
        <v>171</v>
      </c>
      <c r="I556" s="14">
        <f t="shared" si="26"/>
        <v>-170.22739726027396</v>
      </c>
      <c r="J556" s="15" t="s">
        <v>1193</v>
      </c>
      <c r="T556" s="8"/>
      <c r="AC556" s="1">
        <v>36</v>
      </c>
      <c r="AD556" s="9">
        <v>36</v>
      </c>
      <c r="AE556" s="8">
        <f t="shared" si="27"/>
        <v>27.777777777777779</v>
      </c>
      <c r="AF556" s="8">
        <f t="shared" si="28"/>
        <v>231.38888888888889</v>
      </c>
      <c r="AG556" s="1">
        <v>4.5</v>
      </c>
      <c r="AH556" s="9">
        <v>4.5</v>
      </c>
      <c r="AI556" s="8">
        <f>1/AH556</f>
        <v>0.22222222222222221</v>
      </c>
      <c r="AJ556" s="8">
        <f>8.33*AI556</f>
        <v>1.8511111111111109</v>
      </c>
    </row>
    <row r="557" spans="1:37" x14ac:dyDescent="0.2">
      <c r="A557">
        <v>-170</v>
      </c>
      <c r="B557" s="10" t="s">
        <v>91</v>
      </c>
      <c r="C557" s="11" t="s">
        <v>1194</v>
      </c>
      <c r="D557" s="15" t="s">
        <v>1192</v>
      </c>
      <c r="E557" s="13">
        <v>9</v>
      </c>
      <c r="F557" s="13">
        <v>10</v>
      </c>
      <c r="G557" s="13">
        <f t="shared" si="25"/>
        <v>273</v>
      </c>
      <c r="H557" s="13">
        <v>171</v>
      </c>
      <c r="I557" s="14">
        <f t="shared" si="26"/>
        <v>-170.22739726027396</v>
      </c>
      <c r="J557" s="15" t="s">
        <v>1195</v>
      </c>
      <c r="K557" s="10">
        <v>156</v>
      </c>
      <c r="L557" s="16">
        <v>156</v>
      </c>
      <c r="M557" s="16">
        <f>1000/L557</f>
        <v>6.4102564102564106</v>
      </c>
      <c r="N557" s="16">
        <f>8.33*M557</f>
        <v>53.397435897435898</v>
      </c>
      <c r="O557" s="16">
        <f>1.613*N557</f>
        <v>86.130064102564106</v>
      </c>
      <c r="T557" s="8"/>
    </row>
    <row r="558" spans="1:37" x14ac:dyDescent="0.2">
      <c r="A558">
        <v>-170</v>
      </c>
      <c r="B558" s="10" t="s">
        <v>91</v>
      </c>
      <c r="C558" s="11" t="s">
        <v>42</v>
      </c>
      <c r="D558" s="15" t="s">
        <v>1196</v>
      </c>
      <c r="E558" s="13">
        <v>19</v>
      </c>
      <c r="F558" s="13">
        <v>10</v>
      </c>
      <c r="G558" s="13">
        <f t="shared" si="25"/>
        <v>273</v>
      </c>
      <c r="H558" s="13">
        <v>171</v>
      </c>
      <c r="I558" s="14">
        <f t="shared" si="26"/>
        <v>-170.2</v>
      </c>
      <c r="J558" s="15" t="s">
        <v>1197</v>
      </c>
      <c r="T558" s="8"/>
    </row>
    <row r="559" spans="1:37" x14ac:dyDescent="0.2">
      <c r="A559">
        <v>-170</v>
      </c>
      <c r="B559" s="10" t="s">
        <v>91</v>
      </c>
      <c r="C559" s="11" t="s">
        <v>45</v>
      </c>
      <c r="D559" s="15" t="s">
        <v>1198</v>
      </c>
      <c r="E559" s="13">
        <v>29</v>
      </c>
      <c r="F559" s="13">
        <v>10</v>
      </c>
      <c r="G559" s="13">
        <f t="shared" si="25"/>
        <v>273</v>
      </c>
      <c r="H559" s="13">
        <v>171</v>
      </c>
      <c r="I559" s="14">
        <f t="shared" si="26"/>
        <v>-170.17260273972602</v>
      </c>
      <c r="J559" s="15" t="s">
        <v>1193</v>
      </c>
      <c r="K559" s="10" t="s">
        <v>41</v>
      </c>
      <c r="T559" s="8"/>
    </row>
    <row r="560" spans="1:37" x14ac:dyDescent="0.2">
      <c r="A560">
        <v>-170</v>
      </c>
      <c r="B560" s="10" t="s">
        <v>94</v>
      </c>
      <c r="D560" s="15" t="s">
        <v>1199</v>
      </c>
      <c r="E560" s="13">
        <v>8</v>
      </c>
      <c r="F560" s="13">
        <v>11</v>
      </c>
      <c r="G560" s="13">
        <f t="shared" si="25"/>
        <v>304</v>
      </c>
      <c r="H560" s="13">
        <v>171</v>
      </c>
      <c r="I560" s="14">
        <f t="shared" si="26"/>
        <v>-170.14520547945204</v>
      </c>
      <c r="J560" s="15" t="s">
        <v>1200</v>
      </c>
      <c r="T560" s="8"/>
      <c r="Y560" t="s">
        <v>1134</v>
      </c>
      <c r="Z560" s="20">
        <v>96</v>
      </c>
      <c r="AA560" s="16">
        <f>1000/Z560</f>
        <v>10.416666666666666</v>
      </c>
      <c r="AB560" s="16">
        <f>8.33*AA560</f>
        <v>86.770833333333329</v>
      </c>
      <c r="AC560" s="1">
        <v>42</v>
      </c>
      <c r="AD560" s="9">
        <v>42</v>
      </c>
      <c r="AE560" s="8">
        <f>1000/AD560</f>
        <v>23.80952380952381</v>
      </c>
      <c r="AF560" s="8">
        <f>8.33*AE560</f>
        <v>198.33333333333334</v>
      </c>
      <c r="AG560" s="1">
        <v>4.5</v>
      </c>
      <c r="AH560" s="9">
        <v>4.5</v>
      </c>
      <c r="AI560" s="8">
        <f>1/AH560</f>
        <v>0.22222222222222221</v>
      </c>
      <c r="AJ560" s="8">
        <f>8.33*AI560</f>
        <v>1.8511111111111109</v>
      </c>
    </row>
    <row r="561" spans="1:37" x14ac:dyDescent="0.2">
      <c r="A561">
        <v>-170</v>
      </c>
      <c r="B561" s="10" t="s">
        <v>1201</v>
      </c>
      <c r="D561" s="25" t="s">
        <v>1202</v>
      </c>
      <c r="E561" s="13">
        <v>6</v>
      </c>
      <c r="F561" s="13">
        <v>3</v>
      </c>
      <c r="G561" s="13">
        <f t="shared" si="25"/>
        <v>59</v>
      </c>
      <c r="H561" s="13">
        <v>170</v>
      </c>
      <c r="I561" s="14">
        <f t="shared" si="26"/>
        <v>-169.82191780821918</v>
      </c>
      <c r="J561" s="26" t="s">
        <v>1203</v>
      </c>
      <c r="T561" s="8"/>
      <c r="AC561" t="s">
        <v>1204</v>
      </c>
      <c r="AD561" s="21">
        <v>24</v>
      </c>
      <c r="AE561" s="22">
        <f>1000/AD561</f>
        <v>41.666666666666664</v>
      </c>
      <c r="AF561" s="22">
        <f>8.33*AE561</f>
        <v>347.08333333333331</v>
      </c>
      <c r="AG561" s="1">
        <v>4.5</v>
      </c>
      <c r="AH561" s="9">
        <v>4.5</v>
      </c>
      <c r="AI561" s="8">
        <f>1/AH561</f>
        <v>0.22222222222222221</v>
      </c>
      <c r="AJ561" s="8">
        <f>8.33*AI561</f>
        <v>1.8511111111111109</v>
      </c>
    </row>
    <row r="562" spans="1:37" x14ac:dyDescent="0.2">
      <c r="A562">
        <v>-168</v>
      </c>
      <c r="B562" s="10" t="s">
        <v>285</v>
      </c>
      <c r="D562" s="15" t="s">
        <v>1205</v>
      </c>
      <c r="E562" s="13">
        <v>18</v>
      </c>
      <c r="F562" s="13">
        <v>8</v>
      </c>
      <c r="G562" s="13">
        <f t="shared" si="25"/>
        <v>212</v>
      </c>
      <c r="H562" s="13">
        <v>169</v>
      </c>
      <c r="I562" s="14">
        <f t="shared" si="26"/>
        <v>-168.36986301369862</v>
      </c>
      <c r="J562" s="15" t="s">
        <v>1206</v>
      </c>
      <c r="K562" s="2">
        <v>246</v>
      </c>
      <c r="L562" s="8">
        <v>246</v>
      </c>
      <c r="M562" s="8">
        <f>1000/L562</f>
        <v>4.0650406504065044</v>
      </c>
      <c r="N562" s="8">
        <f>8.33*M562</f>
        <v>33.861788617886184</v>
      </c>
      <c r="O562" s="8">
        <f>1.613*N562</f>
        <v>54.619065040650412</v>
      </c>
      <c r="T562" s="8"/>
      <c r="U562" s="1">
        <v>540</v>
      </c>
      <c r="V562" s="9">
        <v>540</v>
      </c>
      <c r="W562" s="8">
        <f>1000/V562</f>
        <v>1.8518518518518519</v>
      </c>
      <c r="X562" s="8">
        <f>8.33*W562</f>
        <v>15.425925925925926</v>
      </c>
      <c r="Y562" s="1">
        <v>96</v>
      </c>
      <c r="Z562" s="9">
        <v>96</v>
      </c>
      <c r="AA562" s="8">
        <f>1000/Z562</f>
        <v>10.416666666666666</v>
      </c>
      <c r="AB562" s="8">
        <f>8.33*AA562</f>
        <v>86.770833333333329</v>
      </c>
      <c r="AC562" s="1">
        <v>45</v>
      </c>
      <c r="AD562" s="9">
        <v>45</v>
      </c>
      <c r="AE562" s="8">
        <f>1000/AD562</f>
        <v>22.222222222222221</v>
      </c>
      <c r="AF562" s="8">
        <f>8.33*AE562</f>
        <v>185.11111111111111</v>
      </c>
      <c r="AK562" t="s">
        <v>1207</v>
      </c>
    </row>
    <row r="563" spans="1:37" x14ac:dyDescent="0.2">
      <c r="A563">
        <v>-168</v>
      </c>
      <c r="B563" s="10" t="s">
        <v>285</v>
      </c>
      <c r="C563" s="11" t="s">
        <v>39</v>
      </c>
      <c r="D563" s="15" t="s">
        <v>1205</v>
      </c>
      <c r="E563" s="13">
        <v>18</v>
      </c>
      <c r="F563" s="13">
        <v>8</v>
      </c>
      <c r="G563" s="13">
        <f t="shared" si="25"/>
        <v>212</v>
      </c>
      <c r="H563" s="13">
        <v>169</v>
      </c>
      <c r="I563" s="14">
        <f t="shared" si="26"/>
        <v>-168.36986301369862</v>
      </c>
      <c r="J563" s="15" t="s">
        <v>1208</v>
      </c>
      <c r="P563">
        <v>330</v>
      </c>
      <c r="Q563" s="17">
        <v>330</v>
      </c>
      <c r="R563" s="16">
        <f>1000/Q563</f>
        <v>3.0303030303030303</v>
      </c>
      <c r="S563" s="16">
        <f>8.33*R563</f>
        <v>25.242424242424242</v>
      </c>
      <c r="T563" s="16">
        <f>S563*1.33</f>
        <v>33.572424242424241</v>
      </c>
      <c r="AG563" t="s">
        <v>41</v>
      </c>
    </row>
    <row r="564" spans="1:37" x14ac:dyDescent="0.2">
      <c r="A564">
        <v>-168</v>
      </c>
      <c r="B564" s="10" t="s">
        <v>285</v>
      </c>
      <c r="C564" s="11" t="s">
        <v>42</v>
      </c>
      <c r="D564" s="15" t="s">
        <v>1209</v>
      </c>
      <c r="E564" s="13">
        <v>28</v>
      </c>
      <c r="F564" s="13">
        <v>8</v>
      </c>
      <c r="G564" s="13">
        <f t="shared" si="25"/>
        <v>212</v>
      </c>
      <c r="H564" s="13">
        <v>169</v>
      </c>
      <c r="I564" s="14">
        <f t="shared" si="26"/>
        <v>-168.34246575342465</v>
      </c>
      <c r="J564" s="15" t="s">
        <v>1210</v>
      </c>
      <c r="Q564" s="20">
        <v>330</v>
      </c>
      <c r="R564" s="19">
        <v>3.03</v>
      </c>
      <c r="S564" s="19">
        <v>25.24</v>
      </c>
      <c r="T564" s="19">
        <f>S564*1.33</f>
        <v>33.569200000000002</v>
      </c>
    </row>
    <row r="565" spans="1:37" x14ac:dyDescent="0.2">
      <c r="A565">
        <v>-168</v>
      </c>
      <c r="B565" s="10" t="s">
        <v>285</v>
      </c>
      <c r="C565" s="11" t="s">
        <v>45</v>
      </c>
      <c r="D565" s="15" t="s">
        <v>1211</v>
      </c>
      <c r="E565" s="13">
        <v>7</v>
      </c>
      <c r="F565" s="13">
        <v>9</v>
      </c>
      <c r="G565" s="13">
        <f t="shared" si="25"/>
        <v>243</v>
      </c>
      <c r="H565" s="13">
        <v>169</v>
      </c>
      <c r="I565" s="14">
        <f t="shared" si="26"/>
        <v>-168.31506849315068</v>
      </c>
      <c r="J565" s="15" t="s">
        <v>1206</v>
      </c>
      <c r="P565">
        <v>360</v>
      </c>
      <c r="Q565" s="17">
        <v>360</v>
      </c>
      <c r="R565" s="16">
        <f>1000/Q565</f>
        <v>2.7777777777777777</v>
      </c>
      <c r="S565" s="16">
        <f>8.33*R565</f>
        <v>23.138888888888889</v>
      </c>
      <c r="T565" s="16">
        <f>S565*1.33</f>
        <v>30.774722222222223</v>
      </c>
    </row>
    <row r="566" spans="1:37" x14ac:dyDescent="0.2">
      <c r="A566">
        <v>-168</v>
      </c>
      <c r="B566" s="10" t="s">
        <v>72</v>
      </c>
      <c r="D566" s="15" t="s">
        <v>1212</v>
      </c>
      <c r="E566" s="13">
        <v>16</v>
      </c>
      <c r="F566" s="13">
        <v>9</v>
      </c>
      <c r="G566" s="13">
        <f t="shared" si="25"/>
        <v>243</v>
      </c>
      <c r="H566" s="13">
        <v>169</v>
      </c>
      <c r="I566" s="14">
        <f t="shared" si="26"/>
        <v>-168.29041095890412</v>
      </c>
      <c r="J566" s="15" t="s">
        <v>1213</v>
      </c>
      <c r="K566" s="2">
        <v>252</v>
      </c>
      <c r="L566" s="8">
        <v>252</v>
      </c>
      <c r="M566" s="8">
        <f>1000/L566</f>
        <v>3.9682539682539684</v>
      </c>
      <c r="N566" s="8">
        <f>8.33*M566</f>
        <v>33.055555555555557</v>
      </c>
      <c r="O566" s="8">
        <f>1.613*N566</f>
        <v>53.31861111111111</v>
      </c>
      <c r="P566" s="1">
        <v>378</v>
      </c>
      <c r="Q566" s="9">
        <v>378</v>
      </c>
      <c r="R566" s="8">
        <f>1000/Q566</f>
        <v>2.6455026455026456</v>
      </c>
      <c r="S566" s="8">
        <f>8.33*R566</f>
        <v>22.037037037037038</v>
      </c>
      <c r="T566" s="8">
        <f>S566*1.33</f>
        <v>29.309259259259264</v>
      </c>
      <c r="U566" s="1" t="s">
        <v>1214</v>
      </c>
      <c r="V566" s="21">
        <v>540</v>
      </c>
      <c r="W566" s="22">
        <f>1000/V566</f>
        <v>1.8518518518518519</v>
      </c>
      <c r="X566" s="22">
        <f>8.33*W566</f>
        <v>15.425925925925926</v>
      </c>
      <c r="Y566" s="1" t="s">
        <v>1215</v>
      </c>
      <c r="Z566" s="21">
        <v>84</v>
      </c>
      <c r="AA566" s="22">
        <f>1000/Z566</f>
        <v>11.904761904761905</v>
      </c>
      <c r="AB566" s="22">
        <f>8.33*AA566</f>
        <v>99.166666666666671</v>
      </c>
      <c r="AC566" s="1" t="s">
        <v>1216</v>
      </c>
      <c r="AD566" s="21">
        <v>42</v>
      </c>
      <c r="AE566" s="22">
        <f>1000/AD566</f>
        <v>23.80952380952381</v>
      </c>
      <c r="AF566" s="22">
        <f>8.33*AE566</f>
        <v>198.33333333333334</v>
      </c>
      <c r="AG566" s="1">
        <v>6</v>
      </c>
      <c r="AH566" s="9">
        <v>6</v>
      </c>
      <c r="AI566" s="8">
        <f>1/AH566</f>
        <v>0.16666666666666666</v>
      </c>
      <c r="AJ566" s="8">
        <f>8.33*AI566</f>
        <v>1.3883333333333332</v>
      </c>
      <c r="AK566" t="s">
        <v>1217</v>
      </c>
    </row>
    <row r="567" spans="1:37" x14ac:dyDescent="0.2">
      <c r="A567">
        <v>-168</v>
      </c>
      <c r="B567" s="10" t="s">
        <v>94</v>
      </c>
      <c r="D567" s="15" t="s">
        <v>1218</v>
      </c>
      <c r="E567" s="13">
        <v>15</v>
      </c>
      <c r="F567" s="13">
        <v>11</v>
      </c>
      <c r="G567" s="13">
        <f t="shared" si="25"/>
        <v>304</v>
      </c>
      <c r="H567" s="13">
        <v>169</v>
      </c>
      <c r="I567" s="14">
        <f t="shared" si="26"/>
        <v>-168.12602739726029</v>
      </c>
      <c r="J567" s="15" t="s">
        <v>1219</v>
      </c>
      <c r="K567" s="2"/>
      <c r="L567" s="8"/>
      <c r="P567" s="1"/>
      <c r="Q567" s="9"/>
      <c r="U567" s="1">
        <v>606</v>
      </c>
      <c r="V567" s="9">
        <v>606</v>
      </c>
      <c r="W567" s="8">
        <f>1000/V567</f>
        <v>1.6501650165016502</v>
      </c>
      <c r="X567" s="8">
        <f>8.33*W567</f>
        <v>13.745874587458745</v>
      </c>
      <c r="Y567" s="1">
        <v>84</v>
      </c>
      <c r="Z567" s="9">
        <v>84</v>
      </c>
      <c r="AA567" s="8">
        <f>1000/Z567</f>
        <v>11.904761904761905</v>
      </c>
      <c r="AB567" s="8">
        <f>8.33*AA567</f>
        <v>99.166666666666671</v>
      </c>
      <c r="AC567" s="1"/>
      <c r="AD567" s="9"/>
      <c r="AG567" s="1">
        <v>5</v>
      </c>
      <c r="AH567" s="9">
        <v>5</v>
      </c>
      <c r="AI567" s="8">
        <f>1/AH567</f>
        <v>0.2</v>
      </c>
      <c r="AJ567" s="8">
        <f>8.33*AI567</f>
        <v>1.6660000000000001</v>
      </c>
    </row>
    <row r="568" spans="1:37" x14ac:dyDescent="0.2">
      <c r="A568">
        <v>-168</v>
      </c>
      <c r="B568" s="10" t="s">
        <v>94</v>
      </c>
      <c r="C568" s="11" t="s">
        <v>39</v>
      </c>
      <c r="D568" s="15" t="s">
        <v>1218</v>
      </c>
      <c r="E568" s="13">
        <v>15</v>
      </c>
      <c r="F568" s="13">
        <v>11</v>
      </c>
      <c r="G568" s="13">
        <f t="shared" si="25"/>
        <v>304</v>
      </c>
      <c r="H568" s="13">
        <v>169</v>
      </c>
      <c r="I568" s="14">
        <f t="shared" si="26"/>
        <v>-168.12602739726029</v>
      </c>
      <c r="J568" s="15" t="s">
        <v>1220</v>
      </c>
      <c r="K568" s="10">
        <v>210</v>
      </c>
      <c r="L568" s="16">
        <v>210</v>
      </c>
      <c r="M568" s="16">
        <f>1000/L568</f>
        <v>4.7619047619047619</v>
      </c>
      <c r="N568" s="16">
        <f>8.33*M568</f>
        <v>39.666666666666664</v>
      </c>
      <c r="O568" s="16">
        <f>1.613*N568</f>
        <v>63.98233333333333</v>
      </c>
      <c r="P568">
        <v>432</v>
      </c>
      <c r="Q568" s="17">
        <v>432</v>
      </c>
      <c r="R568" s="16">
        <f>1000/Q568</f>
        <v>2.3148148148148149</v>
      </c>
      <c r="S568" s="16">
        <f>8.33*R568</f>
        <v>19.282407407407408</v>
      </c>
      <c r="T568" s="16">
        <f>S568*1.33</f>
        <v>25.645601851851854</v>
      </c>
      <c r="AC568">
        <v>40.5</v>
      </c>
      <c r="AD568" s="17">
        <v>40.5</v>
      </c>
      <c r="AE568" s="16">
        <f>1000/AD568</f>
        <v>24.691358024691358</v>
      </c>
      <c r="AF568" s="16">
        <f>8.33*AE568</f>
        <v>205.67901234567901</v>
      </c>
    </row>
    <row r="569" spans="1:37" x14ac:dyDescent="0.2">
      <c r="A569">
        <v>-168</v>
      </c>
      <c r="B569" s="10" t="s">
        <v>94</v>
      </c>
      <c r="C569" s="11" t="s">
        <v>42</v>
      </c>
      <c r="D569" s="15" t="s">
        <v>1221</v>
      </c>
      <c r="E569" s="13">
        <v>25</v>
      </c>
      <c r="F569" s="13">
        <v>11</v>
      </c>
      <c r="G569" s="13">
        <f t="shared" si="25"/>
        <v>304</v>
      </c>
      <c r="H569" s="13">
        <v>169</v>
      </c>
      <c r="I569" s="14">
        <f t="shared" si="26"/>
        <v>-168.09863013698629</v>
      </c>
      <c r="J569" s="15" t="s">
        <v>1222</v>
      </c>
      <c r="K569" s="10" t="s">
        <v>835</v>
      </c>
      <c r="Q569" s="20">
        <v>420</v>
      </c>
      <c r="R569" s="19">
        <v>2.38</v>
      </c>
      <c r="S569" s="19">
        <v>19.829999999999998</v>
      </c>
      <c r="T569" s="19">
        <f>S569*1.33</f>
        <v>26.373899999999999</v>
      </c>
    </row>
    <row r="570" spans="1:37" x14ac:dyDescent="0.2">
      <c r="A570">
        <v>-168</v>
      </c>
      <c r="B570" s="10" t="s">
        <v>94</v>
      </c>
      <c r="C570" s="11" t="s">
        <v>45</v>
      </c>
      <c r="D570" s="15" t="s">
        <v>1223</v>
      </c>
      <c r="E570" s="13">
        <v>5</v>
      </c>
      <c r="F570" s="13">
        <v>12</v>
      </c>
      <c r="G570" s="13">
        <f t="shared" si="25"/>
        <v>334</v>
      </c>
      <c r="H570" s="13">
        <v>169</v>
      </c>
      <c r="I570" s="14">
        <f t="shared" si="26"/>
        <v>-168.07123287671232</v>
      </c>
      <c r="J570" s="15" t="s">
        <v>1219</v>
      </c>
      <c r="K570" s="10">
        <v>204</v>
      </c>
      <c r="L570" s="16">
        <v>204</v>
      </c>
      <c r="M570" s="16">
        <f>1000/L570</f>
        <v>4.9019607843137258</v>
      </c>
      <c r="N570" s="16">
        <f>8.33*M570</f>
        <v>40.833333333333336</v>
      </c>
      <c r="O570" s="16">
        <f>1.613*N570</f>
        <v>65.864166666666677</v>
      </c>
      <c r="P570">
        <v>420</v>
      </c>
      <c r="Q570" s="17">
        <v>420</v>
      </c>
      <c r="R570" s="16">
        <f>1000/Q570</f>
        <v>2.3809523809523809</v>
      </c>
      <c r="S570" s="16">
        <f>8.33*R570</f>
        <v>19.833333333333332</v>
      </c>
      <c r="T570" s="16">
        <f>S570*1.33</f>
        <v>26.378333333333334</v>
      </c>
      <c r="AC570" t="s">
        <v>1224</v>
      </c>
      <c r="AD570" s="20">
        <v>39</v>
      </c>
      <c r="AE570" s="19">
        <f>1000/AD570</f>
        <v>25.641025641025642</v>
      </c>
      <c r="AF570" s="19">
        <f>8.33*AE570</f>
        <v>213.58974358974359</v>
      </c>
    </row>
    <row r="571" spans="1:37" x14ac:dyDescent="0.2">
      <c r="A571">
        <v>-165</v>
      </c>
      <c r="B571" s="10" t="s">
        <v>285</v>
      </c>
      <c r="D571" s="15" t="s">
        <v>1225</v>
      </c>
      <c r="E571" s="13">
        <v>16</v>
      </c>
      <c r="F571" s="13">
        <v>8</v>
      </c>
      <c r="G571" s="13">
        <f t="shared" si="25"/>
        <v>212</v>
      </c>
      <c r="H571" s="13">
        <v>166</v>
      </c>
      <c r="I571" s="14">
        <f t="shared" si="26"/>
        <v>-165.37534246575342</v>
      </c>
      <c r="J571" s="15" t="s">
        <v>1226</v>
      </c>
      <c r="K571" s="2">
        <v>372</v>
      </c>
      <c r="L571" s="8">
        <v>372</v>
      </c>
      <c r="M571" s="8">
        <f>1000/L571</f>
        <v>2.6881720430107525</v>
      </c>
      <c r="N571" s="8">
        <f>8.33*M571</f>
        <v>22.392473118279568</v>
      </c>
      <c r="O571" s="8">
        <f>1.613*N571</f>
        <v>36.119059139784945</v>
      </c>
      <c r="P571" t="s">
        <v>1227</v>
      </c>
      <c r="Q571" s="20">
        <v>666</v>
      </c>
      <c r="R571" s="19">
        <f>1000/Q571</f>
        <v>1.5015015015015014</v>
      </c>
      <c r="S571" s="19">
        <f>8.33*R571</f>
        <v>12.507507507507507</v>
      </c>
      <c r="T571" s="19">
        <f>S571*1.33</f>
        <v>16.634984984984985</v>
      </c>
      <c r="AK571" t="s">
        <v>1228</v>
      </c>
    </row>
    <row r="572" spans="1:37" x14ac:dyDescent="0.2">
      <c r="A572">
        <v>-164</v>
      </c>
      <c r="B572" s="10" t="s">
        <v>47</v>
      </c>
      <c r="D572" s="15" t="s">
        <v>1229</v>
      </c>
      <c r="E572" s="13">
        <v>7</v>
      </c>
      <c r="F572" s="13">
        <v>5</v>
      </c>
      <c r="G572" s="13">
        <f t="shared" si="25"/>
        <v>120</v>
      </c>
      <c r="H572" s="13">
        <v>165</v>
      </c>
      <c r="I572" s="14">
        <f t="shared" si="26"/>
        <v>-164.65205479452055</v>
      </c>
      <c r="J572" s="15" t="s">
        <v>1230</v>
      </c>
      <c r="K572" s="2"/>
      <c r="L572" s="8"/>
      <c r="Q572" s="20"/>
      <c r="Y572" s="1" t="s">
        <v>720</v>
      </c>
      <c r="Z572" s="21">
        <v>60</v>
      </c>
      <c r="AA572" s="22">
        <f>1000/Z572</f>
        <v>16.666666666666668</v>
      </c>
      <c r="AB572" s="22">
        <f>8.33*AA572</f>
        <v>138.83333333333334</v>
      </c>
    </row>
    <row r="573" spans="1:37" x14ac:dyDescent="0.2">
      <c r="A573">
        <v>-164</v>
      </c>
      <c r="B573" s="10" t="s">
        <v>47</v>
      </c>
      <c r="C573" s="11" t="s">
        <v>39</v>
      </c>
      <c r="D573" s="15" t="s">
        <v>1229</v>
      </c>
      <c r="E573" s="13">
        <v>7</v>
      </c>
      <c r="F573" s="13">
        <v>5</v>
      </c>
      <c r="G573" s="13">
        <f t="shared" si="25"/>
        <v>120</v>
      </c>
      <c r="H573" s="13">
        <v>165</v>
      </c>
      <c r="I573" s="14">
        <f t="shared" si="26"/>
        <v>-164.65205479452055</v>
      </c>
      <c r="J573" s="15" t="s">
        <v>1231</v>
      </c>
      <c r="K573" s="10" t="s">
        <v>41</v>
      </c>
      <c r="Z573" s="20"/>
      <c r="AA573" s="8"/>
      <c r="AB573" s="8"/>
    </row>
    <row r="574" spans="1:37" x14ac:dyDescent="0.2">
      <c r="A574">
        <v>-164</v>
      </c>
      <c r="B574" s="10" t="s">
        <v>47</v>
      </c>
      <c r="C574" s="11" t="s">
        <v>42</v>
      </c>
      <c r="D574" s="15" t="s">
        <v>1232</v>
      </c>
      <c r="E574" s="13">
        <v>17</v>
      </c>
      <c r="F574" s="13">
        <v>5</v>
      </c>
      <c r="G574" s="13">
        <f t="shared" si="25"/>
        <v>120</v>
      </c>
      <c r="H574" s="13">
        <v>165</v>
      </c>
      <c r="I574" s="14">
        <f t="shared" si="26"/>
        <v>-164.62465753424658</v>
      </c>
      <c r="J574" s="15" t="s">
        <v>1233</v>
      </c>
      <c r="P574">
        <v>420</v>
      </c>
      <c r="Q574" s="17">
        <v>420</v>
      </c>
      <c r="R574" s="16">
        <f>1000/Q574</f>
        <v>2.3809523809523809</v>
      </c>
      <c r="S574" s="16">
        <f>8.33*R574</f>
        <v>19.833333333333332</v>
      </c>
      <c r="T574" s="16">
        <f>S574*1.33</f>
        <v>26.378333333333334</v>
      </c>
      <c r="AA574" s="8"/>
      <c r="AB574" s="8"/>
    </row>
    <row r="575" spans="1:37" x14ac:dyDescent="0.2">
      <c r="A575">
        <v>-164</v>
      </c>
      <c r="B575" s="10" t="s">
        <v>47</v>
      </c>
      <c r="C575" s="11" t="s">
        <v>45</v>
      </c>
      <c r="D575" s="15" t="s">
        <v>1234</v>
      </c>
      <c r="E575" s="13">
        <v>27</v>
      </c>
      <c r="F575" s="13">
        <v>5</v>
      </c>
      <c r="G575" s="13">
        <f t="shared" si="25"/>
        <v>120</v>
      </c>
      <c r="H575" s="13">
        <v>165</v>
      </c>
      <c r="I575" s="14">
        <f t="shared" si="26"/>
        <v>-164.59726027397261</v>
      </c>
      <c r="J575" s="15" t="s">
        <v>1230</v>
      </c>
      <c r="P575" t="s">
        <v>41</v>
      </c>
      <c r="AA575" s="8"/>
      <c r="AB575" s="8"/>
    </row>
    <row r="576" spans="1:37" x14ac:dyDescent="0.2">
      <c r="A576">
        <v>-164</v>
      </c>
      <c r="B576" s="10" t="s">
        <v>91</v>
      </c>
      <c r="D576" s="15" t="s">
        <v>1235</v>
      </c>
      <c r="E576" s="13">
        <v>2</v>
      </c>
      <c r="F576" s="13">
        <v>10</v>
      </c>
      <c r="G576" s="13">
        <f t="shared" si="25"/>
        <v>273</v>
      </c>
      <c r="H576" s="13">
        <v>165</v>
      </c>
      <c r="I576" s="14">
        <f t="shared" si="26"/>
        <v>-164.24657534246575</v>
      </c>
      <c r="J576" s="15" t="s">
        <v>1236</v>
      </c>
      <c r="U576" s="1">
        <v>720</v>
      </c>
      <c r="V576" s="9">
        <v>720</v>
      </c>
      <c r="W576" s="8">
        <f>1000/V576</f>
        <v>1.3888888888888888</v>
      </c>
      <c r="X576" s="8">
        <f>8.33*W576</f>
        <v>11.569444444444445</v>
      </c>
      <c r="Y576" s="1">
        <v>42</v>
      </c>
      <c r="Z576" s="9">
        <v>42</v>
      </c>
      <c r="AA576" s="8">
        <f>1000/Z576</f>
        <v>23.80952380952381</v>
      </c>
      <c r="AB576" s="8">
        <f>8.33*AA576</f>
        <v>198.33333333333334</v>
      </c>
      <c r="AG576" s="1">
        <v>4</v>
      </c>
      <c r="AH576" s="9">
        <v>4</v>
      </c>
      <c r="AI576" s="8">
        <f>1/AH576</f>
        <v>0.25</v>
      </c>
      <c r="AJ576" s="8">
        <f>8.33*AI576</f>
        <v>2.0825</v>
      </c>
    </row>
    <row r="577" spans="1:37" x14ac:dyDescent="0.2">
      <c r="A577">
        <v>-164</v>
      </c>
      <c r="B577" s="10" t="s">
        <v>91</v>
      </c>
      <c r="C577" s="11" t="s">
        <v>39</v>
      </c>
      <c r="D577" s="15" t="s">
        <v>1235</v>
      </c>
      <c r="E577" s="13">
        <v>2</v>
      </c>
      <c r="F577" s="13">
        <v>10</v>
      </c>
      <c r="G577" s="13">
        <f t="shared" si="25"/>
        <v>273</v>
      </c>
      <c r="H577" s="13">
        <v>165</v>
      </c>
      <c r="I577" s="14">
        <f t="shared" si="26"/>
        <v>-164.24657534246575</v>
      </c>
      <c r="J577" s="15" t="s">
        <v>1237</v>
      </c>
      <c r="K577" s="10" t="s">
        <v>501</v>
      </c>
      <c r="L577" s="19">
        <v>354</v>
      </c>
      <c r="M577" s="19">
        <f>1000/L577</f>
        <v>2.8248587570621471</v>
      </c>
      <c r="N577" s="19">
        <f>8.33*M577</f>
        <v>23.531073446327685</v>
      </c>
      <c r="O577" s="19">
        <f>1.613*N577</f>
        <v>37.955621468926559</v>
      </c>
      <c r="P577">
        <v>210</v>
      </c>
      <c r="Q577" s="17">
        <v>210</v>
      </c>
      <c r="R577" s="16">
        <f>1000/Q577</f>
        <v>4.7619047619047619</v>
      </c>
      <c r="S577" s="16">
        <f>8.33*R577</f>
        <v>39.666666666666664</v>
      </c>
      <c r="T577" s="16">
        <f>S577*1.33</f>
        <v>52.756666666666668</v>
      </c>
      <c r="AC577">
        <v>39</v>
      </c>
      <c r="AD577" s="17">
        <v>39</v>
      </c>
      <c r="AE577" s="16">
        <f>1000/AD577</f>
        <v>25.641025641025642</v>
      </c>
      <c r="AF577" s="16">
        <f>8.33*AE577</f>
        <v>213.58974358974359</v>
      </c>
    </row>
    <row r="578" spans="1:37" x14ac:dyDescent="0.2">
      <c r="A578">
        <v>-164</v>
      </c>
      <c r="B578" s="10" t="s">
        <v>91</v>
      </c>
      <c r="C578" s="11" t="s">
        <v>42</v>
      </c>
      <c r="D578" s="15" t="s">
        <v>1238</v>
      </c>
      <c r="E578" s="13">
        <v>12</v>
      </c>
      <c r="F578" s="13">
        <v>10</v>
      </c>
      <c r="G578" s="13">
        <f t="shared" ref="G578:G641" si="29">INDEX(A$1502:A$1513,F578)</f>
        <v>273</v>
      </c>
      <c r="H578" s="13">
        <v>165</v>
      </c>
      <c r="I578" s="14">
        <f t="shared" si="26"/>
        <v>-164.21917808219177</v>
      </c>
      <c r="J578" s="15" t="s">
        <v>1239</v>
      </c>
      <c r="K578" s="10" t="s">
        <v>1118</v>
      </c>
      <c r="AD578" s="20">
        <v>39</v>
      </c>
      <c r="AE578" s="19">
        <v>23.81</v>
      </c>
      <c r="AF578" s="19">
        <v>213.59</v>
      </c>
    </row>
    <row r="579" spans="1:37" x14ac:dyDescent="0.2">
      <c r="A579">
        <v>-164</v>
      </c>
      <c r="B579" s="10" t="s">
        <v>91</v>
      </c>
      <c r="C579" s="11" t="s">
        <v>45</v>
      </c>
      <c r="D579" s="15" t="s">
        <v>1240</v>
      </c>
      <c r="E579" s="13">
        <v>22</v>
      </c>
      <c r="F579" s="13">
        <v>10</v>
      </c>
      <c r="G579" s="13">
        <f t="shared" si="29"/>
        <v>273</v>
      </c>
      <c r="H579" s="13">
        <v>165</v>
      </c>
      <c r="I579" s="14">
        <f t="shared" ref="I579:I642" si="30">($E579+$G579)/365-$H579</f>
        <v>-164.1917808219178</v>
      </c>
      <c r="J579" s="15" t="s">
        <v>1236</v>
      </c>
      <c r="K579" s="10">
        <v>378.5</v>
      </c>
      <c r="L579" s="16">
        <v>378.5</v>
      </c>
      <c r="M579" s="16">
        <f>1000/L579</f>
        <v>2.6420079260237781</v>
      </c>
      <c r="N579" s="16">
        <f>8.33*M579</f>
        <v>22.007926023778072</v>
      </c>
      <c r="O579" s="16">
        <f>1.613*N579</f>
        <v>35.498784676354028</v>
      </c>
      <c r="AC579">
        <v>42</v>
      </c>
      <c r="AD579" s="17">
        <v>42</v>
      </c>
      <c r="AE579" s="16">
        <f>1000/AD579</f>
        <v>23.80952380952381</v>
      </c>
      <c r="AF579" s="16">
        <f>8.33*AE579</f>
        <v>198.33333333333334</v>
      </c>
    </row>
    <row r="580" spans="1:37" x14ac:dyDescent="0.2">
      <c r="A580">
        <v>-164</v>
      </c>
      <c r="B580" s="10" t="s">
        <v>127</v>
      </c>
      <c r="D580" s="15" t="s">
        <v>1241</v>
      </c>
      <c r="E580" s="13">
        <v>26</v>
      </c>
      <c r="F580" s="13">
        <v>2</v>
      </c>
      <c r="G580" s="13">
        <f t="shared" si="29"/>
        <v>31</v>
      </c>
      <c r="H580" s="13">
        <v>164</v>
      </c>
      <c r="I580" s="14">
        <f t="shared" si="30"/>
        <v>-163.84383561643835</v>
      </c>
      <c r="J580" s="15" t="s">
        <v>1242</v>
      </c>
      <c r="T580" s="8"/>
      <c r="Y580" t="s">
        <v>1243</v>
      </c>
      <c r="Z580" s="20">
        <v>40</v>
      </c>
      <c r="AA580" s="19">
        <f>1000/Z580</f>
        <v>25</v>
      </c>
      <c r="AB580" s="19">
        <f>8.33*AA580</f>
        <v>208.25</v>
      </c>
      <c r="AC580" s="1">
        <v>42</v>
      </c>
      <c r="AD580" s="9">
        <v>42</v>
      </c>
      <c r="AE580" s="8">
        <f>1000/AD580</f>
        <v>23.80952380952381</v>
      </c>
      <c r="AF580" s="8">
        <f>8.33*AE580</f>
        <v>198.33333333333334</v>
      </c>
      <c r="AG580" t="s">
        <v>41</v>
      </c>
      <c r="AK580" t="s">
        <v>1244</v>
      </c>
    </row>
    <row r="581" spans="1:37" x14ac:dyDescent="0.2">
      <c r="A581">
        <v>-163</v>
      </c>
      <c r="B581" s="10" t="s">
        <v>47</v>
      </c>
      <c r="D581" s="15" t="s">
        <v>1245</v>
      </c>
      <c r="E581" s="13">
        <v>26</v>
      </c>
      <c r="F581" s="13">
        <v>4</v>
      </c>
      <c r="G581" s="13">
        <f t="shared" si="29"/>
        <v>90</v>
      </c>
      <c r="H581" s="13">
        <v>164</v>
      </c>
      <c r="I581" s="14">
        <f t="shared" si="30"/>
        <v>-163.68219178082191</v>
      </c>
      <c r="J581" s="15" t="s">
        <v>1246</v>
      </c>
      <c r="T581" s="8"/>
      <c r="Z581" s="20"/>
      <c r="AC581" s="1"/>
      <c r="AD581" s="9"/>
      <c r="AG581" s="1">
        <v>4</v>
      </c>
      <c r="AH581" s="9">
        <v>4</v>
      </c>
      <c r="AI581" s="8">
        <f>1/AH581</f>
        <v>0.25</v>
      </c>
      <c r="AJ581" s="8">
        <f>8.33*AI581</f>
        <v>2.0825</v>
      </c>
    </row>
    <row r="582" spans="1:37" x14ac:dyDescent="0.2">
      <c r="A582">
        <v>-163</v>
      </c>
      <c r="B582" s="10" t="s">
        <v>47</v>
      </c>
      <c r="C582" s="11" t="s">
        <v>39</v>
      </c>
      <c r="D582" s="15" t="s">
        <v>1245</v>
      </c>
      <c r="E582" s="13">
        <v>26</v>
      </c>
      <c r="F582" s="13">
        <v>4</v>
      </c>
      <c r="G582" s="13">
        <f t="shared" si="29"/>
        <v>90</v>
      </c>
      <c r="H582" s="13">
        <v>164</v>
      </c>
      <c r="I582" s="14">
        <f t="shared" si="30"/>
        <v>-163.68219178082191</v>
      </c>
      <c r="J582" s="15" t="s">
        <v>1247</v>
      </c>
      <c r="K582" s="10">
        <v>96</v>
      </c>
      <c r="L582" s="16">
        <v>96</v>
      </c>
      <c r="M582" s="16">
        <f>1000/L582</f>
        <v>10.416666666666666</v>
      </c>
      <c r="N582" s="16">
        <f>8.33*M582</f>
        <v>86.770833333333329</v>
      </c>
      <c r="O582" s="16">
        <f>1.613*N582</f>
        <v>139.96135416666667</v>
      </c>
      <c r="P582" t="s">
        <v>1248</v>
      </c>
      <c r="Q582" s="17">
        <v>162</v>
      </c>
      <c r="R582" s="16">
        <f>1000/Q582</f>
        <v>6.1728395061728394</v>
      </c>
      <c r="S582" s="16">
        <f>8.33*R582</f>
        <v>51.419753086419753</v>
      </c>
      <c r="T582" s="16">
        <f>S582*1.33</f>
        <v>68.388271604938282</v>
      </c>
      <c r="AC582">
        <v>39</v>
      </c>
      <c r="AD582" s="17">
        <v>39</v>
      </c>
      <c r="AE582" s="16">
        <f>1000/AD582</f>
        <v>25.641025641025642</v>
      </c>
      <c r="AF582" s="16">
        <f>8.33*AE582</f>
        <v>213.58974358974359</v>
      </c>
    </row>
    <row r="583" spans="1:37" x14ac:dyDescent="0.2">
      <c r="A583">
        <v>-163</v>
      </c>
      <c r="B583" s="10" t="s">
        <v>47</v>
      </c>
      <c r="C583" s="11" t="s">
        <v>42</v>
      </c>
      <c r="D583" s="15" t="s">
        <v>1249</v>
      </c>
      <c r="E583" s="13">
        <v>6</v>
      </c>
      <c r="F583" s="13">
        <v>5</v>
      </c>
      <c r="G583" s="13">
        <f t="shared" si="29"/>
        <v>120</v>
      </c>
      <c r="H583" s="13">
        <v>164</v>
      </c>
      <c r="I583" s="14">
        <f t="shared" si="30"/>
        <v>-163.65479452054794</v>
      </c>
      <c r="J583" s="15" t="s">
        <v>1250</v>
      </c>
      <c r="K583" s="10" t="s">
        <v>41</v>
      </c>
      <c r="P583" t="s">
        <v>1118</v>
      </c>
    </row>
    <row r="584" spans="1:37" x14ac:dyDescent="0.2">
      <c r="A584">
        <v>-163</v>
      </c>
      <c r="B584" s="10" t="s">
        <v>47</v>
      </c>
      <c r="C584" s="11" t="s">
        <v>45</v>
      </c>
      <c r="D584" s="15" t="s">
        <v>1251</v>
      </c>
      <c r="E584" s="13">
        <v>16</v>
      </c>
      <c r="F584" s="13">
        <v>5</v>
      </c>
      <c r="G584" s="13">
        <f t="shared" si="29"/>
        <v>120</v>
      </c>
      <c r="H584" s="13">
        <v>164</v>
      </c>
      <c r="I584" s="14">
        <f t="shared" si="30"/>
        <v>-163.62739726027397</v>
      </c>
      <c r="J584" s="15" t="s">
        <v>1246</v>
      </c>
      <c r="P584" s="18" t="s">
        <v>1252</v>
      </c>
      <c r="Q584" s="20">
        <v>150</v>
      </c>
      <c r="R584" s="19">
        <f>1000/Q584</f>
        <v>6.666666666666667</v>
      </c>
      <c r="S584" s="19">
        <f>8.33*R584</f>
        <v>55.533333333333339</v>
      </c>
      <c r="T584" s="19">
        <f t="shared" ref="T584:T590" si="31">S584*1.33</f>
        <v>73.859333333333339</v>
      </c>
      <c r="AC584" t="s">
        <v>1023</v>
      </c>
      <c r="AD584" s="20">
        <v>33</v>
      </c>
      <c r="AE584" s="19">
        <f>1000/AD584</f>
        <v>30.303030303030305</v>
      </c>
      <c r="AF584" s="19">
        <f>8.33*AE584</f>
        <v>252.42424242424244</v>
      </c>
      <c r="AK584" t="s">
        <v>1253</v>
      </c>
    </row>
    <row r="585" spans="1:37" x14ac:dyDescent="0.2">
      <c r="A585">
        <v>-163</v>
      </c>
      <c r="B585" s="10" t="s">
        <v>94</v>
      </c>
      <c r="C585" s="11" t="s">
        <v>39</v>
      </c>
      <c r="D585" s="15" t="s">
        <v>1254</v>
      </c>
      <c r="E585" s="13">
        <v>21</v>
      </c>
      <c r="F585" s="13">
        <v>10</v>
      </c>
      <c r="G585" s="13">
        <f t="shared" si="29"/>
        <v>273</v>
      </c>
      <c r="H585" s="13">
        <v>164</v>
      </c>
      <c r="I585" s="14">
        <f t="shared" si="30"/>
        <v>-163.19452054794522</v>
      </c>
      <c r="J585" s="15" t="s">
        <v>1255</v>
      </c>
      <c r="K585" s="10" t="s">
        <v>41</v>
      </c>
      <c r="P585">
        <v>312</v>
      </c>
      <c r="Q585" s="17">
        <v>312</v>
      </c>
      <c r="R585" s="16">
        <f>1000/Q585</f>
        <v>3.2051282051282053</v>
      </c>
      <c r="S585" s="16">
        <f>8.33*R585</f>
        <v>26.698717948717949</v>
      </c>
      <c r="T585" s="16">
        <f t="shared" si="31"/>
        <v>35.509294871794872</v>
      </c>
      <c r="U585" t="s">
        <v>41</v>
      </c>
      <c r="AK585" t="s">
        <v>1256</v>
      </c>
    </row>
    <row r="586" spans="1:37" x14ac:dyDescent="0.2">
      <c r="A586">
        <v>-163</v>
      </c>
      <c r="B586" s="10" t="s">
        <v>94</v>
      </c>
      <c r="C586" s="11" t="s">
        <v>42</v>
      </c>
      <c r="D586" s="15" t="s">
        <v>1257</v>
      </c>
      <c r="E586" s="13">
        <v>31</v>
      </c>
      <c r="F586" s="13">
        <v>10</v>
      </c>
      <c r="G586" s="13">
        <f t="shared" si="29"/>
        <v>273</v>
      </c>
      <c r="H586" s="13">
        <v>164</v>
      </c>
      <c r="I586" s="14">
        <f t="shared" si="30"/>
        <v>-163.16712328767125</v>
      </c>
      <c r="J586" s="15" t="s">
        <v>1258</v>
      </c>
      <c r="K586" s="10">
        <v>69</v>
      </c>
      <c r="L586" s="16">
        <v>69</v>
      </c>
      <c r="M586" s="16">
        <f>1000/L586</f>
        <v>14.492753623188406</v>
      </c>
      <c r="N586" s="16">
        <f>8.33*M586</f>
        <v>120.72463768115942</v>
      </c>
      <c r="O586" s="16">
        <f>1.613*N586</f>
        <v>194.72884057971015</v>
      </c>
      <c r="Q586" s="20">
        <v>312</v>
      </c>
      <c r="R586" s="19">
        <v>3.21</v>
      </c>
      <c r="S586" s="19">
        <v>26.7</v>
      </c>
      <c r="T586" s="19">
        <f t="shared" si="31"/>
        <v>35.511000000000003</v>
      </c>
      <c r="U586" t="s">
        <v>1259</v>
      </c>
      <c r="V586" s="17" t="s">
        <v>1259</v>
      </c>
    </row>
    <row r="587" spans="1:37" x14ac:dyDescent="0.2">
      <c r="A587">
        <v>-163</v>
      </c>
      <c r="B587" s="10" t="s">
        <v>94</v>
      </c>
      <c r="C587" s="11" t="s">
        <v>45</v>
      </c>
      <c r="D587" s="15" t="s">
        <v>1260</v>
      </c>
      <c r="E587" s="13">
        <v>10</v>
      </c>
      <c r="F587" s="13">
        <v>11</v>
      </c>
      <c r="G587" s="13">
        <f t="shared" si="29"/>
        <v>304</v>
      </c>
      <c r="H587" s="13">
        <v>164</v>
      </c>
      <c r="I587" s="14">
        <f t="shared" si="30"/>
        <v>-163.13972602739727</v>
      </c>
      <c r="J587" s="15" t="s">
        <v>1261</v>
      </c>
      <c r="K587" s="10">
        <v>72</v>
      </c>
      <c r="L587" s="16">
        <v>72</v>
      </c>
      <c r="M587" s="16">
        <f>1000/L587</f>
        <v>13.888888888888889</v>
      </c>
      <c r="N587" s="16">
        <f>8.33*M587</f>
        <v>115.69444444444444</v>
      </c>
      <c r="O587" s="16">
        <f>1.613*N587</f>
        <v>186.61513888888888</v>
      </c>
      <c r="P587">
        <v>306</v>
      </c>
      <c r="Q587" s="17">
        <v>306</v>
      </c>
      <c r="R587" s="16">
        <f>1000/Q587</f>
        <v>3.2679738562091503</v>
      </c>
      <c r="S587" s="16">
        <f>8.33*R587</f>
        <v>27.222222222222221</v>
      </c>
      <c r="T587" s="16">
        <f t="shared" si="31"/>
        <v>36.205555555555556</v>
      </c>
      <c r="AK587" t="s">
        <v>1262</v>
      </c>
    </row>
    <row r="588" spans="1:37" x14ac:dyDescent="0.2">
      <c r="A588">
        <v>-163</v>
      </c>
      <c r="B588" s="10" t="s">
        <v>145</v>
      </c>
      <c r="C588" s="11" t="s">
        <v>39</v>
      </c>
      <c r="D588" s="15" t="s">
        <v>1263</v>
      </c>
      <c r="E588" s="13">
        <v>19</v>
      </c>
      <c r="F588" s="13">
        <v>12</v>
      </c>
      <c r="G588" s="13">
        <f t="shared" si="29"/>
        <v>334</v>
      </c>
      <c r="H588" s="13">
        <v>164</v>
      </c>
      <c r="I588" s="14">
        <f t="shared" si="30"/>
        <v>-163.03287671232877</v>
      </c>
      <c r="J588" s="15" t="s">
        <v>1264</v>
      </c>
      <c r="P588">
        <v>288</v>
      </c>
      <c r="Q588" s="17">
        <v>288</v>
      </c>
      <c r="R588" s="16">
        <f>1000/Q588</f>
        <v>3.4722222222222223</v>
      </c>
      <c r="S588" s="16">
        <f>8.33*R588</f>
        <v>28.923611111111111</v>
      </c>
      <c r="T588" s="16">
        <f t="shared" si="31"/>
        <v>38.468402777777783</v>
      </c>
    </row>
    <row r="589" spans="1:37" x14ac:dyDescent="0.2">
      <c r="A589">
        <v>-163</v>
      </c>
      <c r="B589" s="10" t="s">
        <v>145</v>
      </c>
      <c r="C589" s="11" t="s">
        <v>42</v>
      </c>
      <c r="D589" s="15" t="s">
        <v>1265</v>
      </c>
      <c r="E589" s="13">
        <v>29</v>
      </c>
      <c r="F589" s="13">
        <v>12</v>
      </c>
      <c r="G589" s="13">
        <f t="shared" si="29"/>
        <v>334</v>
      </c>
      <c r="H589" s="13">
        <v>164</v>
      </c>
      <c r="I589" s="14">
        <f t="shared" si="30"/>
        <v>-163.0054794520548</v>
      </c>
      <c r="J589" s="15" t="s">
        <v>1266</v>
      </c>
      <c r="P589">
        <v>294</v>
      </c>
      <c r="Q589" s="17">
        <v>294</v>
      </c>
      <c r="R589" s="16">
        <f>1000/Q589</f>
        <v>3.4013605442176869</v>
      </c>
      <c r="S589" s="16">
        <f>8.33*R589</f>
        <v>28.333333333333332</v>
      </c>
      <c r="T589" s="16">
        <f t="shared" si="31"/>
        <v>37.683333333333337</v>
      </c>
    </row>
    <row r="590" spans="1:37" x14ac:dyDescent="0.2">
      <c r="A590">
        <v>-163</v>
      </c>
      <c r="B590" s="10" t="s">
        <v>145</v>
      </c>
      <c r="C590" s="11" t="s">
        <v>45</v>
      </c>
      <c r="D590" s="15" t="s">
        <v>1267</v>
      </c>
      <c r="E590" s="13">
        <v>8</v>
      </c>
      <c r="F590" s="13">
        <v>1</v>
      </c>
      <c r="G590" s="13">
        <f t="shared" si="29"/>
        <v>0</v>
      </c>
      <c r="H590" s="13">
        <v>163</v>
      </c>
      <c r="I590" s="14">
        <f t="shared" si="30"/>
        <v>-162.97808219178083</v>
      </c>
      <c r="J590" s="15" t="s">
        <v>1268</v>
      </c>
      <c r="P590">
        <v>300</v>
      </c>
      <c r="Q590" s="17">
        <v>300</v>
      </c>
      <c r="R590" s="16">
        <f>1000/Q590</f>
        <v>3.3333333333333335</v>
      </c>
      <c r="S590" s="16">
        <f>8.33*R590</f>
        <v>27.766666666666669</v>
      </c>
      <c r="T590" s="16">
        <f t="shared" si="31"/>
        <v>36.92966666666667</v>
      </c>
    </row>
    <row r="591" spans="1:37" x14ac:dyDescent="0.2">
      <c r="A591">
        <v>-163</v>
      </c>
      <c r="B591" s="10" t="s">
        <v>83</v>
      </c>
      <c r="D591" s="15" t="s">
        <v>1269</v>
      </c>
      <c r="E591" s="13">
        <v>17</v>
      </c>
      <c r="F591" s="13">
        <v>1</v>
      </c>
      <c r="G591" s="13">
        <f t="shared" si="29"/>
        <v>0</v>
      </c>
      <c r="H591" s="13">
        <v>163</v>
      </c>
      <c r="I591" s="14">
        <f t="shared" si="30"/>
        <v>-162.95342465753424</v>
      </c>
      <c r="J591" s="15" t="s">
        <v>1270</v>
      </c>
      <c r="P591" s="1" t="s">
        <v>1271</v>
      </c>
      <c r="U591" s="1">
        <v>588</v>
      </c>
      <c r="V591" s="9">
        <v>588</v>
      </c>
      <c r="W591" s="8">
        <f>1000/V591</f>
        <v>1.7006802721088434</v>
      </c>
      <c r="X591" s="8">
        <f>8.33*W591</f>
        <v>14.166666666666666</v>
      </c>
      <c r="Y591" s="1">
        <v>22.5</v>
      </c>
      <c r="Z591" s="9">
        <v>22.5</v>
      </c>
      <c r="AA591" s="8">
        <f>1000/Z591</f>
        <v>44.444444444444443</v>
      </c>
      <c r="AB591" s="8">
        <f>8.33*AA591</f>
        <v>370.22222222222223</v>
      </c>
      <c r="AC591" s="1" t="s">
        <v>238</v>
      </c>
      <c r="AD591" s="21">
        <v>44</v>
      </c>
      <c r="AE591" s="22">
        <f>1000/AD591</f>
        <v>22.727272727272727</v>
      </c>
      <c r="AF591" s="22">
        <f>8.33*AE591</f>
        <v>189.31818181818181</v>
      </c>
    </row>
    <row r="592" spans="1:37" x14ac:dyDescent="0.2">
      <c r="A592">
        <v>-163</v>
      </c>
      <c r="B592" s="10" t="s">
        <v>185</v>
      </c>
      <c r="C592" s="11" t="s">
        <v>39</v>
      </c>
      <c r="D592" s="15" t="s">
        <v>1272</v>
      </c>
      <c r="E592" s="13">
        <v>16</v>
      </c>
      <c r="F592" s="13">
        <v>2</v>
      </c>
      <c r="G592" s="13">
        <f t="shared" si="29"/>
        <v>31</v>
      </c>
      <c r="H592" s="13">
        <v>163</v>
      </c>
      <c r="I592" s="14">
        <f t="shared" si="30"/>
        <v>-162.87123287671233</v>
      </c>
      <c r="J592" s="15" t="s">
        <v>1273</v>
      </c>
      <c r="P592">
        <v>306</v>
      </c>
      <c r="Q592" s="17">
        <v>306</v>
      </c>
      <c r="R592" s="16">
        <f>1000/Q592</f>
        <v>3.2679738562091503</v>
      </c>
      <c r="S592" s="16">
        <f>8.33*R592</f>
        <v>27.222222222222221</v>
      </c>
      <c r="T592" s="16">
        <f>S592*1.33</f>
        <v>36.205555555555556</v>
      </c>
      <c r="U592" s="1"/>
      <c r="V592" s="9"/>
      <c r="W592" s="8"/>
      <c r="X592" s="8"/>
      <c r="Y592" s="1"/>
      <c r="Z592" s="9"/>
      <c r="AA592" s="8"/>
      <c r="AB592" s="8"/>
      <c r="AC592" s="1"/>
      <c r="AD592" s="9"/>
      <c r="AE592" s="8"/>
      <c r="AF592" s="8"/>
    </row>
    <row r="593" spans="1:37" x14ac:dyDescent="0.2">
      <c r="A593">
        <v>-163</v>
      </c>
      <c r="B593" s="10" t="s">
        <v>185</v>
      </c>
      <c r="C593" s="11" t="s">
        <v>42</v>
      </c>
      <c r="D593" s="15" t="s">
        <v>1274</v>
      </c>
      <c r="E593" s="13">
        <v>26</v>
      </c>
      <c r="F593" s="13">
        <v>2</v>
      </c>
      <c r="G593" s="13">
        <f t="shared" si="29"/>
        <v>31</v>
      </c>
      <c r="H593" s="13">
        <v>163</v>
      </c>
      <c r="I593" s="14">
        <f t="shared" si="30"/>
        <v>-162.84383561643835</v>
      </c>
      <c r="J593" s="15" t="s">
        <v>1275</v>
      </c>
      <c r="K593" s="10">
        <v>78</v>
      </c>
      <c r="L593" s="16">
        <v>78</v>
      </c>
      <c r="M593" s="16">
        <f>1000/L593</f>
        <v>12.820512820512821</v>
      </c>
      <c r="N593" s="16">
        <f>8.33*M593</f>
        <v>106.7948717948718</v>
      </c>
      <c r="O593" s="16">
        <f>1.613*N593</f>
        <v>172.26012820512821</v>
      </c>
      <c r="P593">
        <v>294</v>
      </c>
      <c r="Q593" s="17">
        <v>294</v>
      </c>
      <c r="R593" s="16">
        <f>1000/Q593</f>
        <v>3.4013605442176869</v>
      </c>
      <c r="S593" s="16">
        <f>8.33*R593</f>
        <v>28.333333333333332</v>
      </c>
      <c r="T593" s="16">
        <f>S593*1.33</f>
        <v>37.683333333333337</v>
      </c>
      <c r="U593" s="1"/>
      <c r="V593" s="9"/>
      <c r="W593" s="8"/>
      <c r="X593" s="8"/>
      <c r="Y593" s="1"/>
      <c r="Z593" s="9"/>
      <c r="AA593" s="8"/>
      <c r="AB593" s="8"/>
      <c r="AC593" s="1"/>
      <c r="AD593" s="9"/>
      <c r="AE593" s="8"/>
      <c r="AF593" s="8"/>
    </row>
    <row r="594" spans="1:37" x14ac:dyDescent="0.2">
      <c r="A594">
        <v>-163</v>
      </c>
      <c r="B594" s="10" t="s">
        <v>185</v>
      </c>
      <c r="C594" s="11" t="s">
        <v>45</v>
      </c>
      <c r="D594" s="15" t="s">
        <v>1276</v>
      </c>
      <c r="E594" s="13">
        <v>8</v>
      </c>
      <c r="F594" s="13">
        <v>3</v>
      </c>
      <c r="G594" s="13">
        <f t="shared" si="29"/>
        <v>59</v>
      </c>
      <c r="H594" s="13">
        <v>163</v>
      </c>
      <c r="I594" s="14">
        <f t="shared" si="30"/>
        <v>-162.81643835616438</v>
      </c>
      <c r="J594" s="15" t="s">
        <v>1277</v>
      </c>
      <c r="K594" s="10">
        <v>93</v>
      </c>
      <c r="L594" s="16">
        <v>93</v>
      </c>
      <c r="M594" s="16">
        <f>1000/L594</f>
        <v>10.75268817204301</v>
      </c>
      <c r="N594" s="16">
        <f>8.33*M594</f>
        <v>89.569892473118273</v>
      </c>
      <c r="O594" s="16">
        <f>1.613*N594</f>
        <v>144.47623655913978</v>
      </c>
      <c r="P594" t="s">
        <v>1278</v>
      </c>
      <c r="Q594" s="17" t="s">
        <v>1259</v>
      </c>
      <c r="T594" s="8"/>
      <c r="U594" s="1"/>
      <c r="V594" s="9"/>
      <c r="W594" s="8"/>
      <c r="X594" s="8"/>
      <c r="Y594" s="1"/>
      <c r="Z594" s="9"/>
      <c r="AA594" s="8"/>
      <c r="AB594" s="8"/>
      <c r="AC594" s="1"/>
      <c r="AD594" s="9"/>
      <c r="AE594" s="8"/>
      <c r="AF594" s="8"/>
      <c r="AK594" t="s">
        <v>1279</v>
      </c>
    </row>
    <row r="595" spans="1:37" x14ac:dyDescent="0.2">
      <c r="A595">
        <v>-161</v>
      </c>
      <c r="B595" s="10" t="s">
        <v>60</v>
      </c>
      <c r="D595" s="15" t="s">
        <v>1280</v>
      </c>
      <c r="E595" s="13">
        <v>5</v>
      </c>
      <c r="F595" s="13">
        <v>4</v>
      </c>
      <c r="G595" s="13">
        <f t="shared" si="29"/>
        <v>90</v>
      </c>
      <c r="H595" s="13">
        <v>162</v>
      </c>
      <c r="I595" s="14">
        <f t="shared" si="30"/>
        <v>-161.73972602739727</v>
      </c>
      <c r="J595" s="15" t="s">
        <v>1281</v>
      </c>
      <c r="T595" s="8"/>
      <c r="U595" s="1"/>
      <c r="V595" s="9"/>
      <c r="W595" s="8"/>
      <c r="X595" s="8"/>
      <c r="Y595" s="1">
        <v>42</v>
      </c>
      <c r="Z595" s="9">
        <v>42</v>
      </c>
      <c r="AA595" s="8">
        <f>1000/Z595</f>
        <v>23.80952380952381</v>
      </c>
      <c r="AB595" s="8">
        <f>8.33*AA595</f>
        <v>198.33333333333334</v>
      </c>
      <c r="AC595" s="1">
        <v>22.5</v>
      </c>
      <c r="AD595" s="9">
        <v>22.5</v>
      </c>
      <c r="AE595" s="8">
        <f>1000/AD595</f>
        <v>44.444444444444443</v>
      </c>
      <c r="AF595" s="8">
        <f>8.33*AE595</f>
        <v>370.22222222222223</v>
      </c>
      <c r="AG595" s="1">
        <v>5</v>
      </c>
      <c r="AH595" s="9">
        <v>5</v>
      </c>
      <c r="AI595" s="8">
        <f>1/AH595</f>
        <v>0.2</v>
      </c>
      <c r="AJ595" s="8">
        <f>8.33*AI595</f>
        <v>1.6660000000000001</v>
      </c>
    </row>
    <row r="596" spans="1:37" x14ac:dyDescent="0.2">
      <c r="A596">
        <v>-161</v>
      </c>
      <c r="B596" s="10" t="s">
        <v>60</v>
      </c>
      <c r="C596" s="11" t="s">
        <v>39</v>
      </c>
      <c r="D596" s="15" t="s">
        <v>1280</v>
      </c>
      <c r="E596" s="13">
        <v>5</v>
      </c>
      <c r="F596" s="13">
        <v>4</v>
      </c>
      <c r="G596" s="13">
        <f t="shared" si="29"/>
        <v>90</v>
      </c>
      <c r="H596" s="13">
        <v>162</v>
      </c>
      <c r="I596" s="14">
        <f t="shared" si="30"/>
        <v>-161.73972602739727</v>
      </c>
      <c r="J596" s="15" t="s">
        <v>1282</v>
      </c>
      <c r="K596" s="10" t="s">
        <v>41</v>
      </c>
      <c r="P596" t="s">
        <v>41</v>
      </c>
      <c r="T596" s="8"/>
    </row>
    <row r="597" spans="1:37" x14ac:dyDescent="0.2">
      <c r="A597">
        <v>-161</v>
      </c>
      <c r="B597" s="10" t="s">
        <v>54</v>
      </c>
      <c r="C597" s="11" t="s">
        <v>42</v>
      </c>
      <c r="D597" s="15" t="s">
        <v>1283</v>
      </c>
      <c r="E597" s="13">
        <v>15</v>
      </c>
      <c r="F597" s="13">
        <v>4</v>
      </c>
      <c r="G597" s="13">
        <f t="shared" si="29"/>
        <v>90</v>
      </c>
      <c r="H597" s="13">
        <v>162</v>
      </c>
      <c r="I597" s="14">
        <f t="shared" si="30"/>
        <v>-161.7123287671233</v>
      </c>
      <c r="J597" s="15" t="s">
        <v>1284</v>
      </c>
      <c r="K597" s="10">
        <v>90</v>
      </c>
      <c r="L597" s="16">
        <v>90</v>
      </c>
      <c r="M597" s="16">
        <f>1000/L597</f>
        <v>11.111111111111111</v>
      </c>
      <c r="N597" s="16">
        <f>8.33*M597</f>
        <v>92.555555555555557</v>
      </c>
      <c r="O597" s="16">
        <f>1.613*N597</f>
        <v>149.29211111111113</v>
      </c>
      <c r="T597" s="8"/>
    </row>
    <row r="598" spans="1:37" x14ac:dyDescent="0.2">
      <c r="A598">
        <v>-161</v>
      </c>
      <c r="B598" s="10" t="s">
        <v>60</v>
      </c>
      <c r="C598" s="11" t="s">
        <v>45</v>
      </c>
      <c r="D598" s="15" t="s">
        <v>1285</v>
      </c>
      <c r="E598" s="13">
        <v>25</v>
      </c>
      <c r="F598" s="13">
        <v>4</v>
      </c>
      <c r="G598" s="13">
        <f t="shared" si="29"/>
        <v>90</v>
      </c>
      <c r="H598" s="13">
        <v>162</v>
      </c>
      <c r="I598" s="14">
        <f t="shared" si="30"/>
        <v>-161.68493150684932</v>
      </c>
      <c r="J598" s="15" t="s">
        <v>1281</v>
      </c>
      <c r="K598" s="10">
        <v>96</v>
      </c>
      <c r="L598" s="16">
        <v>96</v>
      </c>
      <c r="M598" s="16">
        <f>1000/L598</f>
        <v>10.416666666666666</v>
      </c>
      <c r="N598" s="16">
        <f>8.33*M598</f>
        <v>86.770833333333329</v>
      </c>
      <c r="O598" s="16">
        <f>1.613*N598</f>
        <v>139.96135416666667</v>
      </c>
      <c r="T598" s="8"/>
    </row>
    <row r="599" spans="1:37" x14ac:dyDescent="0.2">
      <c r="A599">
        <v>-161</v>
      </c>
      <c r="B599" s="10" t="s">
        <v>285</v>
      </c>
      <c r="C599" s="11" t="s">
        <v>39</v>
      </c>
      <c r="D599" s="15" t="s">
        <v>1286</v>
      </c>
      <c r="E599" s="13">
        <v>1</v>
      </c>
      <c r="F599" s="13">
        <v>8</v>
      </c>
      <c r="G599" s="13">
        <f t="shared" si="29"/>
        <v>212</v>
      </c>
      <c r="H599" s="13">
        <v>162</v>
      </c>
      <c r="I599" s="14">
        <f t="shared" si="30"/>
        <v>-161.41643835616438</v>
      </c>
      <c r="J599" s="15" t="s">
        <v>1287</v>
      </c>
      <c r="K599" s="10">
        <v>144</v>
      </c>
      <c r="L599" s="16">
        <v>144</v>
      </c>
      <c r="M599" s="16">
        <f>1000/L599</f>
        <v>6.9444444444444446</v>
      </c>
      <c r="N599" s="16">
        <f>8.33*M599</f>
        <v>57.847222222222221</v>
      </c>
      <c r="O599" s="16">
        <f>1.613*N599</f>
        <v>93.307569444444439</v>
      </c>
      <c r="P599" t="s">
        <v>41</v>
      </c>
      <c r="T599" s="8"/>
    </row>
    <row r="600" spans="1:37" x14ac:dyDescent="0.2">
      <c r="A600">
        <v>-161</v>
      </c>
      <c r="B600" s="10" t="s">
        <v>285</v>
      </c>
      <c r="C600" s="11" t="s">
        <v>42</v>
      </c>
      <c r="D600" s="15" t="s">
        <v>1288</v>
      </c>
      <c r="E600" s="13">
        <v>11</v>
      </c>
      <c r="F600" s="13">
        <v>8</v>
      </c>
      <c r="G600" s="13">
        <f t="shared" si="29"/>
        <v>212</v>
      </c>
      <c r="H600" s="13">
        <v>162</v>
      </c>
      <c r="I600" s="14">
        <f t="shared" si="30"/>
        <v>-161.38904109589041</v>
      </c>
      <c r="J600" s="15" t="s">
        <v>1289</v>
      </c>
      <c r="L600" s="19">
        <v>144</v>
      </c>
      <c r="M600" s="19">
        <v>6.94</v>
      </c>
      <c r="N600" s="19">
        <v>57.85</v>
      </c>
      <c r="O600" s="19">
        <v>93.31</v>
      </c>
      <c r="T600" s="8"/>
    </row>
    <row r="601" spans="1:37" x14ac:dyDescent="0.2">
      <c r="A601">
        <v>-161</v>
      </c>
      <c r="B601" s="10" t="s">
        <v>285</v>
      </c>
      <c r="C601" s="11" t="s">
        <v>45</v>
      </c>
      <c r="D601" s="15" t="s">
        <v>1290</v>
      </c>
      <c r="E601" s="13">
        <v>21</v>
      </c>
      <c r="F601" s="13">
        <v>8</v>
      </c>
      <c r="G601" s="13">
        <f t="shared" si="29"/>
        <v>212</v>
      </c>
      <c r="H601" s="13">
        <v>162</v>
      </c>
      <c r="I601" s="14">
        <f t="shared" si="30"/>
        <v>-161.36164383561643</v>
      </c>
      <c r="J601" s="15" t="s">
        <v>1291</v>
      </c>
      <c r="K601" s="10">
        <v>138</v>
      </c>
      <c r="L601" s="16">
        <v>138</v>
      </c>
      <c r="M601" s="16">
        <f>1000/L601</f>
        <v>7.2463768115942031</v>
      </c>
      <c r="N601" s="16">
        <f>8.33*M601</f>
        <v>60.362318840579711</v>
      </c>
      <c r="O601" s="16">
        <f>1.613*N601</f>
        <v>97.364420289855076</v>
      </c>
      <c r="T601" s="8"/>
    </row>
    <row r="602" spans="1:37" x14ac:dyDescent="0.2">
      <c r="A602">
        <v>-161</v>
      </c>
      <c r="B602" s="10" t="s">
        <v>72</v>
      </c>
      <c r="D602" s="15" t="s">
        <v>1292</v>
      </c>
      <c r="E602" s="13">
        <v>31</v>
      </c>
      <c r="F602" s="13">
        <v>8</v>
      </c>
      <c r="G602" s="13">
        <f t="shared" si="29"/>
        <v>212</v>
      </c>
      <c r="H602" s="13">
        <v>162</v>
      </c>
      <c r="I602" s="14">
        <f t="shared" si="30"/>
        <v>-161.33424657534246</v>
      </c>
      <c r="J602" s="15" t="s">
        <v>1293</v>
      </c>
      <c r="T602" s="8"/>
      <c r="U602" s="1">
        <v>720</v>
      </c>
      <c r="V602" s="9">
        <v>720</v>
      </c>
      <c r="W602" s="8">
        <f>1000/V602</f>
        <v>1.3888888888888888</v>
      </c>
      <c r="X602" s="8">
        <f>8.33*W602</f>
        <v>11.569444444444445</v>
      </c>
    </row>
    <row r="603" spans="1:37" x14ac:dyDescent="0.2">
      <c r="A603">
        <v>-161</v>
      </c>
      <c r="B603" s="10" t="s">
        <v>72</v>
      </c>
      <c r="C603" s="11" t="s">
        <v>39</v>
      </c>
      <c r="D603" s="15" t="s">
        <v>1292</v>
      </c>
      <c r="E603" s="13">
        <v>31</v>
      </c>
      <c r="F603" s="13">
        <v>8</v>
      </c>
      <c r="G603" s="13">
        <f t="shared" si="29"/>
        <v>212</v>
      </c>
      <c r="H603" s="13">
        <v>162</v>
      </c>
      <c r="I603" s="14">
        <f t="shared" si="30"/>
        <v>-161.33424657534246</v>
      </c>
      <c r="J603" s="15" t="s">
        <v>1294</v>
      </c>
      <c r="T603" s="8"/>
      <c r="Y603">
        <v>48</v>
      </c>
      <c r="Z603" s="17">
        <v>48</v>
      </c>
      <c r="AA603" s="16">
        <f>1000/Z603</f>
        <v>20.833333333333332</v>
      </c>
      <c r="AB603" s="16">
        <f>8.33*AA603</f>
        <v>173.54166666666666</v>
      </c>
    </row>
    <row r="604" spans="1:37" x14ac:dyDescent="0.2">
      <c r="A604">
        <v>-161</v>
      </c>
      <c r="B604" s="10" t="s">
        <v>72</v>
      </c>
      <c r="C604" s="11" t="s">
        <v>42</v>
      </c>
      <c r="D604" s="15" t="s">
        <v>1295</v>
      </c>
      <c r="E604" s="13">
        <v>10</v>
      </c>
      <c r="F604" s="13">
        <v>9</v>
      </c>
      <c r="G604" s="13">
        <f t="shared" si="29"/>
        <v>243</v>
      </c>
      <c r="H604" s="13">
        <v>162</v>
      </c>
      <c r="I604" s="14">
        <f t="shared" si="30"/>
        <v>-161.30684931506849</v>
      </c>
      <c r="J604" s="15" t="s">
        <v>1296</v>
      </c>
      <c r="T604" s="8"/>
    </row>
    <row r="605" spans="1:37" x14ac:dyDescent="0.2">
      <c r="A605">
        <v>-161</v>
      </c>
      <c r="B605" s="10" t="s">
        <v>72</v>
      </c>
      <c r="C605" s="11" t="s">
        <v>45</v>
      </c>
      <c r="D605" s="15" t="s">
        <v>1297</v>
      </c>
      <c r="E605" s="13">
        <v>20</v>
      </c>
      <c r="F605" s="13">
        <v>9</v>
      </c>
      <c r="G605" s="13">
        <f t="shared" si="29"/>
        <v>243</v>
      </c>
      <c r="H605" s="13">
        <v>162</v>
      </c>
      <c r="I605" s="14">
        <f t="shared" si="30"/>
        <v>-161.27945205479452</v>
      </c>
      <c r="J605" s="15" t="s">
        <v>1293</v>
      </c>
      <c r="T605" s="8"/>
      <c r="Y605" t="s">
        <v>41</v>
      </c>
    </row>
    <row r="606" spans="1:37" x14ac:dyDescent="0.2">
      <c r="A606">
        <v>-161</v>
      </c>
      <c r="B606" s="10" t="s">
        <v>91</v>
      </c>
      <c r="D606" s="15" t="s">
        <v>1298</v>
      </c>
      <c r="E606" s="13">
        <v>30</v>
      </c>
      <c r="F606" s="13">
        <v>9</v>
      </c>
      <c r="G606" s="13">
        <f t="shared" si="29"/>
        <v>243</v>
      </c>
      <c r="H606" s="13">
        <v>162</v>
      </c>
      <c r="I606" s="14">
        <f t="shared" si="30"/>
        <v>-161.25205479452055</v>
      </c>
      <c r="J606" s="15" t="s">
        <v>1299</v>
      </c>
      <c r="T606" s="8"/>
      <c r="AG606" s="1" t="s">
        <v>97</v>
      </c>
      <c r="AH606" s="9"/>
    </row>
    <row r="607" spans="1:37" x14ac:dyDescent="0.2">
      <c r="A607">
        <v>-160</v>
      </c>
      <c r="B607" s="10" t="s">
        <v>75</v>
      </c>
      <c r="D607" s="15" t="s">
        <v>1300</v>
      </c>
      <c r="E607" s="13">
        <v>15</v>
      </c>
      <c r="F607" s="13">
        <v>1</v>
      </c>
      <c r="G607" s="13">
        <f t="shared" si="29"/>
        <v>0</v>
      </c>
      <c r="H607" s="13">
        <v>160</v>
      </c>
      <c r="I607" s="14">
        <f t="shared" si="30"/>
        <v>-159.95890410958904</v>
      </c>
      <c r="J607" s="15" t="s">
        <v>1301</v>
      </c>
      <c r="P607" t="s">
        <v>270</v>
      </c>
      <c r="Q607" s="20">
        <v>72</v>
      </c>
      <c r="R607" s="19">
        <f>1000/Q607</f>
        <v>13.888888888888889</v>
      </c>
      <c r="S607" s="19">
        <f>8.33*R607</f>
        <v>115.69444444444444</v>
      </c>
      <c r="T607" s="19">
        <f>S607*1.33</f>
        <v>153.87361111111113</v>
      </c>
      <c r="U607" s="1">
        <v>270</v>
      </c>
      <c r="V607" s="9">
        <v>270</v>
      </c>
      <c r="W607" s="8">
        <f>1000/V607</f>
        <v>3.7037037037037037</v>
      </c>
      <c r="X607" s="8">
        <f>8.33*W607</f>
        <v>30.851851851851851</v>
      </c>
      <c r="Y607" s="1"/>
      <c r="Z607" s="9"/>
      <c r="AA607" s="8"/>
      <c r="AB607" s="8"/>
    </row>
    <row r="608" spans="1:37" x14ac:dyDescent="0.2">
      <c r="A608">
        <v>-158</v>
      </c>
      <c r="B608" s="10" t="s">
        <v>285</v>
      </c>
      <c r="D608" s="15" t="s">
        <v>1302</v>
      </c>
      <c r="E608" s="13">
        <v>29</v>
      </c>
      <c r="F608" s="13">
        <v>7</v>
      </c>
      <c r="G608" s="13">
        <f t="shared" si="29"/>
        <v>181</v>
      </c>
      <c r="H608" s="13">
        <v>159</v>
      </c>
      <c r="I608" s="14">
        <f t="shared" si="30"/>
        <v>-158.42465753424656</v>
      </c>
      <c r="J608" s="15" t="s">
        <v>1303</v>
      </c>
      <c r="P608" s="1">
        <v>96</v>
      </c>
      <c r="Q608" s="9">
        <v>96</v>
      </c>
      <c r="R608" s="8">
        <f>1000/Q608</f>
        <v>10.416666666666666</v>
      </c>
      <c r="S608" s="8">
        <f>8.33*R608</f>
        <v>86.770833333333329</v>
      </c>
      <c r="T608" s="8">
        <f>S608*1.33</f>
        <v>115.40520833333333</v>
      </c>
      <c r="U608" s="1">
        <v>540</v>
      </c>
      <c r="V608" s="9">
        <v>540</v>
      </c>
      <c r="W608" s="8">
        <f>1000/V608</f>
        <v>1.8518518518518519</v>
      </c>
      <c r="X608" s="8">
        <f>8.33*W608</f>
        <v>15.425925925925926</v>
      </c>
      <c r="Y608" s="1">
        <v>30</v>
      </c>
      <c r="Z608" s="9">
        <v>30</v>
      </c>
      <c r="AA608" s="8">
        <f>1000/Z608</f>
        <v>33.333333333333336</v>
      </c>
      <c r="AB608" s="8">
        <f>8.33*AA608</f>
        <v>277.66666666666669</v>
      </c>
      <c r="AG608" s="1">
        <v>3</v>
      </c>
      <c r="AH608" s="9">
        <v>3</v>
      </c>
      <c r="AI608" s="8">
        <f>1/AH608</f>
        <v>0.33333333333333331</v>
      </c>
      <c r="AJ608" s="8">
        <f>8.33*AI608</f>
        <v>2.7766666666666664</v>
      </c>
    </row>
    <row r="609" spans="1:37" x14ac:dyDescent="0.2">
      <c r="A609">
        <v>-158</v>
      </c>
      <c r="B609" s="10" t="s">
        <v>285</v>
      </c>
      <c r="C609" s="11" t="s">
        <v>39</v>
      </c>
      <c r="D609" s="15" t="s">
        <v>1302</v>
      </c>
      <c r="E609" s="13">
        <v>29</v>
      </c>
      <c r="F609" s="13">
        <v>7</v>
      </c>
      <c r="G609" s="13">
        <f t="shared" si="29"/>
        <v>181</v>
      </c>
      <c r="H609" s="13">
        <v>159</v>
      </c>
      <c r="I609" s="14">
        <f t="shared" si="30"/>
        <v>-158.42465753424656</v>
      </c>
      <c r="J609" s="15" t="s">
        <v>1304</v>
      </c>
      <c r="K609" s="10">
        <v>90</v>
      </c>
      <c r="L609" s="16">
        <v>90</v>
      </c>
      <c r="M609" s="16">
        <f>1000/L609</f>
        <v>11.111111111111111</v>
      </c>
      <c r="N609" s="16">
        <f>8.33*M609</f>
        <v>92.555555555555557</v>
      </c>
      <c r="O609" s="16">
        <f>1.613*N609</f>
        <v>149.29211111111113</v>
      </c>
      <c r="R609" s="8"/>
      <c r="S609" s="8"/>
      <c r="T609" s="8"/>
      <c r="AC609">
        <v>15</v>
      </c>
      <c r="AD609" s="17">
        <v>15</v>
      </c>
      <c r="AE609" s="16">
        <f>1000/AD609</f>
        <v>66.666666666666671</v>
      </c>
      <c r="AF609" s="16">
        <f>8.33*AE609</f>
        <v>555.33333333333337</v>
      </c>
    </row>
    <row r="610" spans="1:37" x14ac:dyDescent="0.2">
      <c r="A610">
        <v>-158</v>
      </c>
      <c r="B610" s="10" t="s">
        <v>285</v>
      </c>
      <c r="C610" s="11" t="s">
        <v>42</v>
      </c>
      <c r="D610" s="15" t="s">
        <v>1305</v>
      </c>
      <c r="E610" s="13">
        <v>8</v>
      </c>
      <c r="F610" s="13">
        <v>8</v>
      </c>
      <c r="G610" s="13">
        <f t="shared" si="29"/>
        <v>212</v>
      </c>
      <c r="H610" s="13">
        <v>159</v>
      </c>
      <c r="I610" s="14">
        <f t="shared" si="30"/>
        <v>-158.39726027397259</v>
      </c>
      <c r="J610" s="15" t="s">
        <v>1306</v>
      </c>
      <c r="K610" s="10" t="s">
        <v>1307</v>
      </c>
      <c r="L610" s="19">
        <v>98</v>
      </c>
      <c r="M610" s="19">
        <f>1000/L610</f>
        <v>10.204081632653061</v>
      </c>
      <c r="N610" s="19">
        <f>8.33*M610</f>
        <v>85</v>
      </c>
      <c r="O610" s="19">
        <f>1.613*N610</f>
        <v>137.10499999999999</v>
      </c>
      <c r="R610" s="8"/>
      <c r="S610" s="8"/>
      <c r="T610" s="8"/>
      <c r="AD610" s="20">
        <v>14</v>
      </c>
      <c r="AE610" s="19">
        <v>66.67</v>
      </c>
      <c r="AF610" s="19">
        <v>555.33000000000004</v>
      </c>
    </row>
    <row r="611" spans="1:37" x14ac:dyDescent="0.2">
      <c r="A611">
        <v>-158</v>
      </c>
      <c r="B611" s="10" t="s">
        <v>285</v>
      </c>
      <c r="C611" s="11" t="s">
        <v>45</v>
      </c>
      <c r="D611" s="15" t="s">
        <v>1308</v>
      </c>
      <c r="E611" s="13">
        <v>18</v>
      </c>
      <c r="F611" s="13">
        <v>8</v>
      </c>
      <c r="G611" s="13">
        <f t="shared" si="29"/>
        <v>212</v>
      </c>
      <c r="H611" s="13">
        <v>159</v>
      </c>
      <c r="I611" s="14">
        <f t="shared" si="30"/>
        <v>-158.36986301369862</v>
      </c>
      <c r="J611" s="15" t="s">
        <v>1303</v>
      </c>
      <c r="K611" s="10">
        <v>96</v>
      </c>
      <c r="L611" s="16">
        <v>96</v>
      </c>
      <c r="M611" s="16">
        <f>1000/L611</f>
        <v>10.416666666666666</v>
      </c>
      <c r="N611" s="16">
        <f>8.33*M611</f>
        <v>86.770833333333329</v>
      </c>
      <c r="O611" s="16">
        <f>1.613*N611</f>
        <v>139.96135416666667</v>
      </c>
      <c r="R611" s="8"/>
      <c r="S611" s="8"/>
      <c r="T611" s="8"/>
      <c r="AC611">
        <v>14</v>
      </c>
      <c r="AD611" s="17">
        <v>14</v>
      </c>
      <c r="AE611" s="16">
        <f>1000/AD611</f>
        <v>71.428571428571431</v>
      </c>
      <c r="AF611" s="16">
        <f>8.33*AE611</f>
        <v>595</v>
      </c>
    </row>
    <row r="612" spans="1:37" x14ac:dyDescent="0.2">
      <c r="A612">
        <v>-158</v>
      </c>
      <c r="B612" s="10" t="s">
        <v>72</v>
      </c>
      <c r="D612" s="15" t="s">
        <v>1309</v>
      </c>
      <c r="E612" s="13">
        <v>27</v>
      </c>
      <c r="F612" s="13">
        <v>8</v>
      </c>
      <c r="G612" s="13">
        <f t="shared" si="29"/>
        <v>212</v>
      </c>
      <c r="H612" s="13">
        <v>159</v>
      </c>
      <c r="I612" s="14">
        <f t="shared" si="30"/>
        <v>-158.34520547945206</v>
      </c>
      <c r="J612" s="15" t="s">
        <v>1310</v>
      </c>
      <c r="K612" s="2">
        <v>90</v>
      </c>
      <c r="L612" s="8">
        <v>90</v>
      </c>
      <c r="M612" s="8">
        <f>1000/L612</f>
        <v>11.111111111111111</v>
      </c>
      <c r="N612" s="8">
        <f>8.33*M612</f>
        <v>92.555555555555557</v>
      </c>
      <c r="O612" s="8">
        <f>1.613*N612</f>
        <v>149.29211111111113</v>
      </c>
      <c r="P612" s="1">
        <v>120</v>
      </c>
      <c r="Q612" s="9">
        <v>120</v>
      </c>
      <c r="R612" s="8">
        <f>1000/Q612</f>
        <v>8.3333333333333339</v>
      </c>
      <c r="S612" s="8">
        <f>8.33*R612</f>
        <v>69.416666666666671</v>
      </c>
      <c r="T612" s="8">
        <f>S612*1.33</f>
        <v>92.324166666666684</v>
      </c>
      <c r="U612" s="1" t="s">
        <v>939</v>
      </c>
      <c r="V612" s="21">
        <v>540</v>
      </c>
      <c r="W612" s="22">
        <f>1000/V612</f>
        <v>1.8518518518518519</v>
      </c>
      <c r="X612" s="22">
        <f>8.33*W612</f>
        <v>15.425925925925926</v>
      </c>
      <c r="Y612" s="1" t="s">
        <v>1311</v>
      </c>
      <c r="Z612" s="21">
        <v>30</v>
      </c>
      <c r="AA612" s="22">
        <f>1000/Z612</f>
        <v>33.333333333333336</v>
      </c>
      <c r="AB612" s="22">
        <f>8.33*AA612</f>
        <v>277.66666666666669</v>
      </c>
      <c r="AK612" t="s">
        <v>1312</v>
      </c>
    </row>
    <row r="613" spans="1:37" x14ac:dyDescent="0.2">
      <c r="A613">
        <v>-157</v>
      </c>
      <c r="B613" s="10" t="s">
        <v>130</v>
      </c>
      <c r="D613" s="15" t="s">
        <v>1313</v>
      </c>
      <c r="E613" s="13">
        <v>19</v>
      </c>
      <c r="F613" s="13">
        <v>7</v>
      </c>
      <c r="G613" s="13">
        <f t="shared" si="29"/>
        <v>181</v>
      </c>
      <c r="H613" s="13">
        <v>158</v>
      </c>
      <c r="I613" s="14">
        <f t="shared" si="30"/>
        <v>-157.45205479452054</v>
      </c>
      <c r="J613" s="15" t="s">
        <v>1314</v>
      </c>
      <c r="K613" s="2"/>
      <c r="L613" s="8"/>
      <c r="P613" s="1"/>
      <c r="Q613" s="9"/>
      <c r="T613" s="8"/>
      <c r="U613" s="1"/>
      <c r="V613" s="21"/>
      <c r="Y613" s="1"/>
      <c r="Z613" s="9"/>
      <c r="AG613" s="1">
        <v>2.5</v>
      </c>
      <c r="AH613" s="9">
        <v>2.5</v>
      </c>
      <c r="AI613" s="8">
        <f>1/AH613</f>
        <v>0.4</v>
      </c>
      <c r="AJ613" s="8">
        <f>8.33*AI613</f>
        <v>3.3320000000000003</v>
      </c>
    </row>
    <row r="614" spans="1:37" x14ac:dyDescent="0.2">
      <c r="A614">
        <v>-157</v>
      </c>
      <c r="B614" s="10" t="s">
        <v>130</v>
      </c>
      <c r="C614" s="11" t="s">
        <v>39</v>
      </c>
      <c r="D614" s="15" t="s">
        <v>1313</v>
      </c>
      <c r="E614" s="13">
        <v>19</v>
      </c>
      <c r="F614" s="13">
        <v>7</v>
      </c>
      <c r="G614" s="13">
        <f t="shared" si="29"/>
        <v>181</v>
      </c>
      <c r="H614" s="13">
        <v>158</v>
      </c>
      <c r="I614" s="14">
        <f t="shared" si="30"/>
        <v>-157.45205479452054</v>
      </c>
      <c r="J614" s="15" t="s">
        <v>1315</v>
      </c>
      <c r="T614" s="8"/>
      <c r="AC614" t="s">
        <v>1316</v>
      </c>
      <c r="AD614" s="20">
        <v>36</v>
      </c>
      <c r="AE614" s="19">
        <f>1000/AD614</f>
        <v>27.777777777777779</v>
      </c>
      <c r="AF614" s="19">
        <f>8.33*AE614</f>
        <v>231.38888888888889</v>
      </c>
      <c r="AK614" t="s">
        <v>1317</v>
      </c>
    </row>
    <row r="615" spans="1:37" x14ac:dyDescent="0.2">
      <c r="A615">
        <v>-157</v>
      </c>
      <c r="B615" s="10" t="s">
        <v>130</v>
      </c>
      <c r="C615" s="11" t="s">
        <v>42</v>
      </c>
      <c r="D615" s="15" t="s">
        <v>1318</v>
      </c>
      <c r="E615" s="13">
        <v>29</v>
      </c>
      <c r="F615" s="13">
        <v>7</v>
      </c>
      <c r="G615" s="13">
        <f t="shared" si="29"/>
        <v>181</v>
      </c>
      <c r="H615" s="13">
        <v>158</v>
      </c>
      <c r="I615" s="14">
        <f t="shared" si="30"/>
        <v>-157.42465753424656</v>
      </c>
      <c r="J615" s="15" t="s">
        <v>1319</v>
      </c>
      <c r="T615" s="8"/>
    </row>
    <row r="616" spans="1:37" x14ac:dyDescent="0.2">
      <c r="A616">
        <v>-157</v>
      </c>
      <c r="B616" s="10" t="s">
        <v>130</v>
      </c>
      <c r="C616" s="11" t="s">
        <v>45</v>
      </c>
      <c r="D616" s="15" t="s">
        <v>1320</v>
      </c>
      <c r="E616" s="13">
        <v>8</v>
      </c>
      <c r="F616" s="13">
        <v>8</v>
      </c>
      <c r="G616" s="13">
        <f t="shared" si="29"/>
        <v>212</v>
      </c>
      <c r="H616" s="13">
        <v>158</v>
      </c>
      <c r="I616" s="14">
        <f t="shared" si="30"/>
        <v>-157.39726027397259</v>
      </c>
      <c r="J616" s="15" t="s">
        <v>1314</v>
      </c>
      <c r="P616">
        <v>195</v>
      </c>
      <c r="Q616" s="17">
        <v>195</v>
      </c>
      <c r="R616" s="16">
        <f>1000/Q616</f>
        <v>5.1282051282051286</v>
      </c>
      <c r="S616" s="16">
        <f>8.33*R616</f>
        <v>42.717948717948723</v>
      </c>
      <c r="T616" s="16">
        <f>S616*1.33</f>
        <v>56.814871794871806</v>
      </c>
      <c r="AG616" t="s">
        <v>1259</v>
      </c>
      <c r="AH616" s="17" t="s">
        <v>1259</v>
      </c>
    </row>
    <row r="617" spans="1:37" x14ac:dyDescent="0.2">
      <c r="A617">
        <v>-156</v>
      </c>
      <c r="B617" s="10" t="s">
        <v>60</v>
      </c>
      <c r="D617" s="15" t="s">
        <v>1321</v>
      </c>
      <c r="E617" s="13">
        <v>9</v>
      </c>
      <c r="F617" s="13">
        <v>4</v>
      </c>
      <c r="G617" s="13">
        <f t="shared" si="29"/>
        <v>90</v>
      </c>
      <c r="H617" s="13">
        <v>157</v>
      </c>
      <c r="I617" s="14">
        <f t="shared" si="30"/>
        <v>-156.72876712328767</v>
      </c>
      <c r="J617" s="15" t="s">
        <v>1322</v>
      </c>
      <c r="P617" s="1">
        <v>480</v>
      </c>
      <c r="Q617" s="9">
        <v>480</v>
      </c>
      <c r="R617" s="8">
        <f>1000/Q617</f>
        <v>2.0833333333333335</v>
      </c>
      <c r="S617" s="8">
        <f>8.33*R617</f>
        <v>17.354166666666668</v>
      </c>
      <c r="T617" s="8">
        <f>S617*1.33</f>
        <v>23.081041666666671</v>
      </c>
    </row>
    <row r="618" spans="1:37" x14ac:dyDescent="0.2">
      <c r="A618">
        <v>-156</v>
      </c>
      <c r="B618" s="10" t="s">
        <v>1323</v>
      </c>
      <c r="C618" s="11" t="s">
        <v>39</v>
      </c>
      <c r="D618" s="15" t="s">
        <v>1321</v>
      </c>
      <c r="E618" s="13">
        <v>9</v>
      </c>
      <c r="F618" s="13">
        <v>4</v>
      </c>
      <c r="G618" s="13">
        <f t="shared" si="29"/>
        <v>90</v>
      </c>
      <c r="H618" s="13">
        <v>157</v>
      </c>
      <c r="I618" s="14">
        <f t="shared" si="30"/>
        <v>-156.72876712328767</v>
      </c>
      <c r="J618" s="15" t="s">
        <v>1324</v>
      </c>
      <c r="K618" s="10">
        <v>150</v>
      </c>
      <c r="L618" s="16">
        <v>150</v>
      </c>
      <c r="M618" s="16">
        <f>1000/L618</f>
        <v>6.666666666666667</v>
      </c>
      <c r="N618" s="16">
        <f>8.33*M618</f>
        <v>55.533333333333339</v>
      </c>
      <c r="O618" s="16">
        <f>1.613*N618</f>
        <v>89.575266666666678</v>
      </c>
      <c r="T618" s="8"/>
      <c r="U618">
        <v>264</v>
      </c>
      <c r="V618" s="17">
        <v>264</v>
      </c>
      <c r="W618" s="16">
        <f>1000/V618</f>
        <v>3.7878787878787881</v>
      </c>
      <c r="X618" s="16">
        <f>8.33*W618</f>
        <v>31.553030303030305</v>
      </c>
      <c r="Y618" t="s">
        <v>41</v>
      </c>
    </row>
    <row r="619" spans="1:37" x14ac:dyDescent="0.2">
      <c r="A619">
        <v>-156</v>
      </c>
      <c r="B619" s="10" t="s">
        <v>60</v>
      </c>
      <c r="C619" s="11" t="s">
        <v>42</v>
      </c>
      <c r="D619" s="15" t="s">
        <v>1325</v>
      </c>
      <c r="E619" s="13">
        <v>19</v>
      </c>
      <c r="F619" s="13">
        <v>4</v>
      </c>
      <c r="G619" s="13">
        <f t="shared" si="29"/>
        <v>90</v>
      </c>
      <c r="H619" s="13">
        <v>157</v>
      </c>
      <c r="I619" s="14">
        <f t="shared" si="30"/>
        <v>-156.7013698630137</v>
      </c>
      <c r="J619" s="15" t="s">
        <v>1326</v>
      </c>
      <c r="T619" s="8"/>
      <c r="U619">
        <v>264</v>
      </c>
      <c r="V619" s="17">
        <v>264</v>
      </c>
      <c r="W619" s="16">
        <f>1000/V619</f>
        <v>3.7878787878787881</v>
      </c>
      <c r="X619" s="16">
        <f>8.33*W619</f>
        <v>31.553030303030305</v>
      </c>
    </row>
    <row r="620" spans="1:37" x14ac:dyDescent="0.2">
      <c r="A620">
        <v>-156</v>
      </c>
      <c r="B620" s="10" t="s">
        <v>54</v>
      </c>
      <c r="C620" s="11" t="s">
        <v>45</v>
      </c>
      <c r="D620" s="15" t="s">
        <v>1327</v>
      </c>
      <c r="E620" s="13">
        <v>29</v>
      </c>
      <c r="F620" s="13">
        <v>4</v>
      </c>
      <c r="G620" s="13">
        <f t="shared" si="29"/>
        <v>90</v>
      </c>
      <c r="H620" s="13">
        <v>157</v>
      </c>
      <c r="I620" s="14">
        <f t="shared" si="30"/>
        <v>-156.67397260273972</v>
      </c>
      <c r="J620" s="15" t="s">
        <v>1322</v>
      </c>
      <c r="K620" s="10">
        <v>144</v>
      </c>
      <c r="L620" s="16">
        <v>144</v>
      </c>
      <c r="M620" s="16">
        <f>1000/L620</f>
        <v>6.9444444444444446</v>
      </c>
      <c r="N620" s="16">
        <f>8.33*M620</f>
        <v>57.847222222222221</v>
      </c>
      <c r="O620" s="16">
        <f>1.613*N620</f>
        <v>93.307569444444439</v>
      </c>
      <c r="T620" s="8"/>
      <c r="U620">
        <v>216</v>
      </c>
      <c r="V620" s="17">
        <v>216</v>
      </c>
      <c r="W620" s="16">
        <f>1000/V620</f>
        <v>4.6296296296296298</v>
      </c>
      <c r="X620" s="16">
        <f>8.33*W620</f>
        <v>38.564814814814817</v>
      </c>
    </row>
    <row r="621" spans="1:37" x14ac:dyDescent="0.2">
      <c r="A621">
        <v>-156</v>
      </c>
      <c r="B621" s="10" t="s">
        <v>285</v>
      </c>
      <c r="D621" s="15" t="s">
        <v>1328</v>
      </c>
      <c r="E621" s="13">
        <v>5</v>
      </c>
      <c r="F621" s="13">
        <v>8</v>
      </c>
      <c r="G621" s="13">
        <f t="shared" si="29"/>
        <v>212</v>
      </c>
      <c r="H621" s="13">
        <v>157</v>
      </c>
      <c r="I621" s="14">
        <f t="shared" si="30"/>
        <v>-156.40547945205481</v>
      </c>
      <c r="J621" s="15" t="s">
        <v>1329</v>
      </c>
      <c r="P621" t="s">
        <v>97</v>
      </c>
      <c r="T621" s="8"/>
      <c r="U621" s="1">
        <v>360</v>
      </c>
      <c r="V621" s="9">
        <v>360</v>
      </c>
      <c r="W621" s="8">
        <f>1000/V621</f>
        <v>2.7777777777777777</v>
      </c>
      <c r="X621" s="8">
        <f>8.33*W621</f>
        <v>23.138888888888889</v>
      </c>
      <c r="Y621" s="1">
        <v>72</v>
      </c>
      <c r="Z621" s="9">
        <v>72</v>
      </c>
      <c r="AA621" s="8">
        <f>1000/Z621</f>
        <v>13.888888888888889</v>
      </c>
      <c r="AB621" s="8">
        <f>8.33*AA621</f>
        <v>115.69444444444444</v>
      </c>
      <c r="AC621">
        <v>36</v>
      </c>
      <c r="AD621" s="17">
        <v>36</v>
      </c>
      <c r="AE621" s="16">
        <f>1000/AD621</f>
        <v>27.777777777777779</v>
      </c>
      <c r="AF621" s="16">
        <f>8.33*AE621</f>
        <v>231.38888888888889</v>
      </c>
    </row>
    <row r="622" spans="1:37" x14ac:dyDescent="0.2">
      <c r="A622">
        <v>-156</v>
      </c>
      <c r="B622" s="10" t="s">
        <v>94</v>
      </c>
      <c r="C622" s="11" t="s">
        <v>39</v>
      </c>
      <c r="D622" s="15" t="s">
        <v>1330</v>
      </c>
      <c r="E622" s="13">
        <v>2</v>
      </c>
      <c r="F622" s="13">
        <v>11</v>
      </c>
      <c r="G622" s="13">
        <f t="shared" si="29"/>
        <v>304</v>
      </c>
      <c r="H622" s="13">
        <v>157</v>
      </c>
      <c r="I622" s="14">
        <f t="shared" si="30"/>
        <v>-156.16164383561645</v>
      </c>
      <c r="J622" s="15" t="s">
        <v>1331</v>
      </c>
      <c r="K622" s="10" t="s">
        <v>1332</v>
      </c>
      <c r="L622" s="19">
        <v>114</v>
      </c>
      <c r="M622" s="19">
        <f>1000/L622</f>
        <v>8.7719298245614041</v>
      </c>
      <c r="N622" s="19">
        <f>8.33*M622</f>
        <v>73.070175438596493</v>
      </c>
      <c r="O622" s="19">
        <f>1.613*N622</f>
        <v>117.86219298245614</v>
      </c>
      <c r="P622" t="s">
        <v>1118</v>
      </c>
      <c r="T622" s="8"/>
    </row>
    <row r="623" spans="1:37" x14ac:dyDescent="0.2">
      <c r="A623">
        <v>-156</v>
      </c>
      <c r="B623" s="10" t="s">
        <v>94</v>
      </c>
      <c r="C623" s="11" t="s">
        <v>42</v>
      </c>
      <c r="D623" s="15" t="s">
        <v>1333</v>
      </c>
      <c r="E623" s="13">
        <v>12</v>
      </c>
      <c r="F623" s="13">
        <v>11</v>
      </c>
      <c r="G623" s="13">
        <f t="shared" si="29"/>
        <v>304</v>
      </c>
      <c r="H623" s="13">
        <v>157</v>
      </c>
      <c r="I623" s="14">
        <f t="shared" si="30"/>
        <v>-156.13424657534247</v>
      </c>
      <c r="J623" s="15" t="s">
        <v>1334</v>
      </c>
      <c r="K623" s="10">
        <v>126</v>
      </c>
      <c r="L623" s="16">
        <v>126</v>
      </c>
      <c r="M623" s="16">
        <f>1000/L623</f>
        <v>7.9365079365079367</v>
      </c>
      <c r="N623" s="16">
        <f>8.33*M623</f>
        <v>66.111111111111114</v>
      </c>
      <c r="O623" s="16">
        <f>1.613*N623</f>
        <v>106.63722222222222</v>
      </c>
      <c r="T623" s="8"/>
    </row>
    <row r="624" spans="1:37" x14ac:dyDescent="0.2">
      <c r="A624">
        <v>-156</v>
      </c>
      <c r="B624" s="10" t="s">
        <v>94</v>
      </c>
      <c r="C624" s="11" t="s">
        <v>45</v>
      </c>
      <c r="D624" s="15" t="s">
        <v>1335</v>
      </c>
      <c r="E624" s="13">
        <v>22</v>
      </c>
      <c r="F624" s="13">
        <v>11</v>
      </c>
      <c r="G624" s="13">
        <f t="shared" si="29"/>
        <v>304</v>
      </c>
      <c r="H624" s="13">
        <v>157</v>
      </c>
      <c r="I624" s="14">
        <f t="shared" si="30"/>
        <v>-156.1068493150685</v>
      </c>
      <c r="J624" s="15" t="s">
        <v>1336</v>
      </c>
      <c r="K624" s="10">
        <v>132</v>
      </c>
      <c r="L624" s="16">
        <v>132</v>
      </c>
      <c r="M624" s="16">
        <f>1000/L624</f>
        <v>7.5757575757575761</v>
      </c>
      <c r="N624" s="16">
        <f>8.33*M624</f>
        <v>63.106060606060609</v>
      </c>
      <c r="O624" s="16">
        <f>1.613*N624</f>
        <v>101.79007575757576</v>
      </c>
      <c r="T624" s="8"/>
    </row>
    <row r="625" spans="1:37" x14ac:dyDescent="0.2">
      <c r="A625">
        <v>-156</v>
      </c>
      <c r="B625" s="10" t="s">
        <v>127</v>
      </c>
      <c r="D625" s="15" t="s">
        <v>1337</v>
      </c>
      <c r="E625" s="13">
        <v>28</v>
      </c>
      <c r="F625" s="13">
        <v>2</v>
      </c>
      <c r="G625" s="13">
        <f t="shared" si="29"/>
        <v>31</v>
      </c>
      <c r="H625" s="13">
        <v>156</v>
      </c>
      <c r="I625" s="14">
        <f t="shared" si="30"/>
        <v>-155.83835616438355</v>
      </c>
      <c r="J625" s="15" t="s">
        <v>1338</v>
      </c>
      <c r="T625" s="8"/>
      <c r="AG625" s="1" t="s">
        <v>1339</v>
      </c>
      <c r="AH625" s="9">
        <v>2.25</v>
      </c>
      <c r="AI625" s="8">
        <f>1/AH625</f>
        <v>0.44444444444444442</v>
      </c>
      <c r="AJ625" s="8">
        <f>8.33*AI625</f>
        <v>3.7022222222222219</v>
      </c>
    </row>
    <row r="626" spans="1:37" x14ac:dyDescent="0.2">
      <c r="A626">
        <v>-156</v>
      </c>
      <c r="B626" s="10" t="s">
        <v>1340</v>
      </c>
      <c r="C626" s="11" t="s">
        <v>39</v>
      </c>
      <c r="D626" s="15" t="s">
        <v>1337</v>
      </c>
      <c r="E626" s="13">
        <v>28</v>
      </c>
      <c r="F626" s="13">
        <v>2</v>
      </c>
      <c r="G626" s="13">
        <f t="shared" si="29"/>
        <v>31</v>
      </c>
      <c r="H626" s="13">
        <v>156</v>
      </c>
      <c r="I626" s="14">
        <f t="shared" si="30"/>
        <v>-155.83835616438355</v>
      </c>
      <c r="J626" s="15" t="s">
        <v>1341</v>
      </c>
      <c r="K626" s="10">
        <v>132</v>
      </c>
      <c r="L626" s="16">
        <v>132</v>
      </c>
      <c r="M626" s="16">
        <f>1000/L626</f>
        <v>7.5757575757575761</v>
      </c>
      <c r="N626" s="16">
        <f>8.33*M626</f>
        <v>63.106060606060609</v>
      </c>
      <c r="O626" s="16">
        <f>1.613*N626</f>
        <v>101.79007575757576</v>
      </c>
      <c r="P626" t="s">
        <v>41</v>
      </c>
      <c r="T626" s="8"/>
      <c r="Y626" t="s">
        <v>133</v>
      </c>
      <c r="Z626" s="17" t="s">
        <v>133</v>
      </c>
      <c r="AC626">
        <v>36</v>
      </c>
      <c r="AD626" s="17">
        <v>36</v>
      </c>
      <c r="AE626" s="16">
        <f>1000/AD626</f>
        <v>27.777777777777779</v>
      </c>
      <c r="AF626" s="16">
        <f>8.33*AE626</f>
        <v>231.38888888888889</v>
      </c>
      <c r="AH626" s="9"/>
    </row>
    <row r="627" spans="1:37" x14ac:dyDescent="0.2">
      <c r="A627">
        <v>-156</v>
      </c>
      <c r="B627" s="10" t="s">
        <v>1342</v>
      </c>
      <c r="C627" s="11" t="s">
        <v>42</v>
      </c>
      <c r="D627" s="15" t="s">
        <v>1343</v>
      </c>
      <c r="E627" s="13">
        <v>10</v>
      </c>
      <c r="F627" s="13">
        <v>3</v>
      </c>
      <c r="G627" s="13">
        <f t="shared" si="29"/>
        <v>59</v>
      </c>
      <c r="H627" s="13">
        <v>156</v>
      </c>
      <c r="I627" s="14">
        <f t="shared" si="30"/>
        <v>-155.81095890410958</v>
      </c>
      <c r="J627" s="15" t="s">
        <v>1344</v>
      </c>
      <c r="P627">
        <v>360</v>
      </c>
      <c r="Q627" s="17">
        <v>360</v>
      </c>
      <c r="R627" s="16">
        <f>1000/Q627</f>
        <v>2.7777777777777777</v>
      </c>
      <c r="S627" s="16">
        <f>8.33*R627</f>
        <v>23.138888888888889</v>
      </c>
      <c r="T627" s="16">
        <f>S627*1.33</f>
        <v>30.774722222222223</v>
      </c>
      <c r="AC627">
        <v>32</v>
      </c>
      <c r="AD627" s="17">
        <v>32</v>
      </c>
      <c r="AE627" s="16">
        <f>1000/AD627</f>
        <v>31.25</v>
      </c>
      <c r="AF627" s="16">
        <f>8.33*AE627</f>
        <v>260.3125</v>
      </c>
    </row>
    <row r="628" spans="1:37" x14ac:dyDescent="0.2">
      <c r="A628">
        <v>-156</v>
      </c>
      <c r="B628" s="10" t="s">
        <v>127</v>
      </c>
      <c r="C628" s="11" t="s">
        <v>1345</v>
      </c>
      <c r="D628" s="7" t="s">
        <v>1343</v>
      </c>
      <c r="E628" s="13">
        <v>10</v>
      </c>
      <c r="F628" s="13">
        <v>3</v>
      </c>
      <c r="G628" s="13">
        <f t="shared" si="29"/>
        <v>59</v>
      </c>
      <c r="H628" s="13">
        <v>156</v>
      </c>
      <c r="I628" s="14">
        <f t="shared" si="30"/>
        <v>-155.81095890410958</v>
      </c>
      <c r="J628" s="7" t="s">
        <v>1346</v>
      </c>
      <c r="K628" s="29" t="s">
        <v>513</v>
      </c>
      <c r="L628" s="19">
        <v>126</v>
      </c>
      <c r="M628" s="19">
        <f>1000/L628</f>
        <v>7.9365079365079367</v>
      </c>
      <c r="N628" s="19">
        <f>8.33*M628</f>
        <v>66.111111111111114</v>
      </c>
      <c r="O628" s="19">
        <f>1.613*N628</f>
        <v>106.63722222222222</v>
      </c>
      <c r="T628" s="8"/>
      <c r="AK628" t="s">
        <v>1347</v>
      </c>
    </row>
    <row r="629" spans="1:37" x14ac:dyDescent="0.2">
      <c r="A629">
        <v>-156</v>
      </c>
      <c r="B629" s="10" t="s">
        <v>1342</v>
      </c>
      <c r="C629" s="11" t="s">
        <v>1348</v>
      </c>
      <c r="D629" s="7" t="s">
        <v>1349</v>
      </c>
      <c r="E629" s="13">
        <v>17</v>
      </c>
      <c r="F629" s="13">
        <v>3</v>
      </c>
      <c r="G629" s="13">
        <f t="shared" si="29"/>
        <v>59</v>
      </c>
      <c r="H629" s="13">
        <v>156</v>
      </c>
      <c r="I629" s="14">
        <f t="shared" si="30"/>
        <v>-155.7917808219178</v>
      </c>
      <c r="J629" s="7" t="s">
        <v>1338</v>
      </c>
      <c r="K629" s="10">
        <v>120</v>
      </c>
      <c r="L629" s="16">
        <v>120</v>
      </c>
      <c r="M629" s="16">
        <f>1000/L629</f>
        <v>8.3333333333333339</v>
      </c>
      <c r="N629" s="16">
        <f>8.33*M629</f>
        <v>69.416666666666671</v>
      </c>
      <c r="O629" s="16">
        <f>1.613*N629</f>
        <v>111.96908333333334</v>
      </c>
      <c r="T629" s="8"/>
    </row>
    <row r="630" spans="1:37" x14ac:dyDescent="0.2">
      <c r="A630">
        <v>-156</v>
      </c>
      <c r="B630" s="10" t="s">
        <v>127</v>
      </c>
      <c r="C630" s="11" t="s">
        <v>45</v>
      </c>
      <c r="D630" s="26" t="s">
        <v>1350</v>
      </c>
      <c r="E630" s="13">
        <v>20</v>
      </c>
      <c r="F630" s="13">
        <v>3</v>
      </c>
      <c r="G630" s="13">
        <f t="shared" si="29"/>
        <v>59</v>
      </c>
      <c r="H630" s="13">
        <v>156</v>
      </c>
      <c r="I630" s="14">
        <f t="shared" si="30"/>
        <v>-155.78356164383561</v>
      </c>
      <c r="J630" s="26" t="s">
        <v>1338</v>
      </c>
      <c r="P630" t="s">
        <v>1351</v>
      </c>
      <c r="Q630" s="20">
        <v>366</v>
      </c>
      <c r="R630" s="19">
        <f>1000/Q630</f>
        <v>2.7322404371584699</v>
      </c>
      <c r="S630" s="19">
        <f>8.33*R630</f>
        <v>22.759562841530055</v>
      </c>
      <c r="T630" s="19">
        <f>S630*1.33</f>
        <v>30.270218579234974</v>
      </c>
    </row>
    <row r="631" spans="1:37" x14ac:dyDescent="0.2">
      <c r="A631">
        <v>-155</v>
      </c>
      <c r="B631" s="10" t="s">
        <v>130</v>
      </c>
      <c r="D631" s="15" t="s">
        <v>1352</v>
      </c>
      <c r="E631" s="13">
        <v>26</v>
      </c>
      <c r="F631" s="13">
        <v>6</v>
      </c>
      <c r="G631" s="13">
        <f t="shared" si="29"/>
        <v>151</v>
      </c>
      <c r="H631" s="13">
        <v>156</v>
      </c>
      <c r="I631" s="14">
        <f t="shared" si="30"/>
        <v>-155.51506849315069</v>
      </c>
      <c r="J631" s="26" t="s">
        <v>1353</v>
      </c>
      <c r="P631" s="1">
        <v>360</v>
      </c>
      <c r="Q631" s="9">
        <v>360</v>
      </c>
      <c r="R631" s="8">
        <f>1000/Q631</f>
        <v>2.7777777777777777</v>
      </c>
      <c r="S631" s="8">
        <f>8.33*R631</f>
        <v>23.138888888888889</v>
      </c>
      <c r="T631" s="8">
        <f>S631*1.33</f>
        <v>30.774722222222223</v>
      </c>
    </row>
    <row r="632" spans="1:37" x14ac:dyDescent="0.2">
      <c r="A632">
        <v>-155</v>
      </c>
      <c r="B632" s="10" t="s">
        <v>130</v>
      </c>
      <c r="C632" s="11" t="s">
        <v>39</v>
      </c>
      <c r="D632" s="15" t="s">
        <v>1352</v>
      </c>
      <c r="E632" s="13">
        <v>26</v>
      </c>
      <c r="F632" s="13">
        <v>6</v>
      </c>
      <c r="G632" s="13">
        <f t="shared" si="29"/>
        <v>151</v>
      </c>
      <c r="H632" s="13">
        <v>156</v>
      </c>
      <c r="I632" s="14">
        <f t="shared" si="30"/>
        <v>-155.51506849315069</v>
      </c>
      <c r="J632" s="15" t="s">
        <v>1354</v>
      </c>
      <c r="K632" s="10" t="s">
        <v>1355</v>
      </c>
      <c r="T632" s="8"/>
      <c r="U632" t="s">
        <v>41</v>
      </c>
      <c r="Y632">
        <v>48</v>
      </c>
      <c r="Z632" s="17">
        <v>48</v>
      </c>
      <c r="AA632" s="16">
        <f>1000/Z632</f>
        <v>20.833333333333332</v>
      </c>
      <c r="AB632" s="16">
        <f>8.33*AA632</f>
        <v>173.54166666666666</v>
      </c>
      <c r="AC632">
        <v>26</v>
      </c>
      <c r="AD632" s="17">
        <v>26</v>
      </c>
      <c r="AE632" s="16">
        <f>1000/AD632</f>
        <v>38.46153846153846</v>
      </c>
      <c r="AF632" s="16">
        <f>8.33*AE632</f>
        <v>320.38461538461536</v>
      </c>
      <c r="AG632" s="1">
        <v>2</v>
      </c>
      <c r="AH632" s="9">
        <v>2</v>
      </c>
      <c r="AI632" s="8">
        <f>1/AH632</f>
        <v>0.5</v>
      </c>
      <c r="AJ632" s="8">
        <f>8.33*AI632</f>
        <v>4.165</v>
      </c>
    </row>
    <row r="633" spans="1:37" x14ac:dyDescent="0.2">
      <c r="A633">
        <v>-155</v>
      </c>
      <c r="B633" s="10" t="s">
        <v>130</v>
      </c>
      <c r="C633" s="11" t="s">
        <v>42</v>
      </c>
      <c r="D633" s="15" t="s">
        <v>1356</v>
      </c>
      <c r="E633" s="13">
        <v>6</v>
      </c>
      <c r="F633" s="13">
        <v>7</v>
      </c>
      <c r="G633" s="13">
        <f t="shared" si="29"/>
        <v>181</v>
      </c>
      <c r="H633" s="13">
        <v>156</v>
      </c>
      <c r="I633" s="14">
        <f t="shared" si="30"/>
        <v>-155.48767123287672</v>
      </c>
      <c r="J633" s="15" t="s">
        <v>1357</v>
      </c>
      <c r="T633" s="8"/>
      <c r="AC633" t="s">
        <v>41</v>
      </c>
    </row>
    <row r="634" spans="1:37" x14ac:dyDescent="0.2">
      <c r="A634">
        <v>-155</v>
      </c>
      <c r="B634" s="10" t="s">
        <v>130</v>
      </c>
      <c r="C634" s="11" t="s">
        <v>45</v>
      </c>
      <c r="D634" s="15" t="s">
        <v>1358</v>
      </c>
      <c r="E634" s="13">
        <v>16</v>
      </c>
      <c r="F634" s="13">
        <v>7</v>
      </c>
      <c r="G634" s="13">
        <f t="shared" si="29"/>
        <v>181</v>
      </c>
      <c r="H634" s="13">
        <v>156</v>
      </c>
      <c r="I634" s="14">
        <f t="shared" si="30"/>
        <v>-155.46027397260275</v>
      </c>
      <c r="J634" s="15" t="s">
        <v>1353</v>
      </c>
      <c r="K634" s="10">
        <v>96</v>
      </c>
      <c r="L634" s="16">
        <v>96</v>
      </c>
      <c r="M634" s="16">
        <f>1000/L634</f>
        <v>10.416666666666666</v>
      </c>
      <c r="N634" s="16">
        <f>8.33*M634</f>
        <v>86.770833333333329</v>
      </c>
      <c r="O634" s="16">
        <f>1.613*N634</f>
        <v>139.96135416666667</v>
      </c>
      <c r="P634" t="s">
        <v>1259</v>
      </c>
      <c r="Q634" s="17" t="s">
        <v>1259</v>
      </c>
      <c r="T634" s="8"/>
      <c r="AC634">
        <v>26</v>
      </c>
      <c r="AD634" s="17">
        <v>26</v>
      </c>
      <c r="AE634" s="16">
        <f>1000/AD634</f>
        <v>38.46153846153846</v>
      </c>
      <c r="AF634" s="16">
        <f>8.33*AE634</f>
        <v>320.38461538461536</v>
      </c>
      <c r="AG634" t="s">
        <v>133</v>
      </c>
      <c r="AH634" s="17" t="s">
        <v>133</v>
      </c>
    </row>
    <row r="635" spans="1:37" x14ac:dyDescent="0.2">
      <c r="A635">
        <v>-154</v>
      </c>
      <c r="B635" s="10" t="s">
        <v>165</v>
      </c>
      <c r="C635" s="11" t="s">
        <v>39</v>
      </c>
      <c r="D635" s="15" t="s">
        <v>1359</v>
      </c>
      <c r="E635" s="13">
        <v>15</v>
      </c>
      <c r="F635" s="13">
        <v>7</v>
      </c>
      <c r="G635" s="13">
        <f t="shared" si="29"/>
        <v>181</v>
      </c>
      <c r="H635" s="13">
        <v>155</v>
      </c>
      <c r="I635" s="14">
        <f t="shared" si="30"/>
        <v>-154.46301369863014</v>
      </c>
      <c r="J635" s="15" t="s">
        <v>1360</v>
      </c>
      <c r="P635" t="s">
        <v>41</v>
      </c>
      <c r="T635" s="8"/>
    </row>
    <row r="636" spans="1:37" x14ac:dyDescent="0.2">
      <c r="A636">
        <v>-154</v>
      </c>
      <c r="B636" s="10" t="s">
        <v>165</v>
      </c>
      <c r="C636" s="11" t="s">
        <v>42</v>
      </c>
      <c r="D636" s="15" t="s">
        <v>1361</v>
      </c>
      <c r="E636" s="13">
        <v>25</v>
      </c>
      <c r="F636" s="13">
        <v>7</v>
      </c>
      <c r="G636" s="13">
        <f t="shared" si="29"/>
        <v>181</v>
      </c>
      <c r="H636" s="13">
        <v>155</v>
      </c>
      <c r="I636" s="14">
        <f t="shared" si="30"/>
        <v>-154.43561643835616</v>
      </c>
      <c r="J636" s="15" t="s">
        <v>1362</v>
      </c>
      <c r="T636" s="8"/>
    </row>
    <row r="637" spans="1:37" x14ac:dyDescent="0.2">
      <c r="A637">
        <v>-154</v>
      </c>
      <c r="B637" s="10" t="s">
        <v>165</v>
      </c>
      <c r="C637" s="11" t="s">
        <v>45</v>
      </c>
      <c r="D637" s="15" t="s">
        <v>1363</v>
      </c>
      <c r="E637" s="13">
        <v>4</v>
      </c>
      <c r="F637" s="13">
        <v>8</v>
      </c>
      <c r="G637" s="13">
        <f t="shared" si="29"/>
        <v>212</v>
      </c>
      <c r="H637" s="13">
        <v>155</v>
      </c>
      <c r="I637" s="14">
        <f t="shared" si="30"/>
        <v>-154.40821917808219</v>
      </c>
      <c r="J637" s="15" t="s">
        <v>1364</v>
      </c>
      <c r="K637" s="10">
        <v>52.25</v>
      </c>
      <c r="L637" s="16">
        <v>52.25</v>
      </c>
      <c r="M637" s="16">
        <f>1000/L637</f>
        <v>19.138755980861244</v>
      </c>
      <c r="N637" s="16">
        <f>8.33*M637</f>
        <v>159.42583732057417</v>
      </c>
      <c r="O637" s="16">
        <f>1.613*N637</f>
        <v>257.15387559808613</v>
      </c>
      <c r="T637" s="8"/>
    </row>
    <row r="638" spans="1:37" x14ac:dyDescent="0.2">
      <c r="A638">
        <v>-154</v>
      </c>
      <c r="B638" s="10" t="s">
        <v>154</v>
      </c>
      <c r="C638" s="11" t="s">
        <v>39</v>
      </c>
      <c r="D638" s="15" t="s">
        <v>1365</v>
      </c>
      <c r="E638" s="13">
        <v>7</v>
      </c>
      <c r="F638" s="13">
        <v>2</v>
      </c>
      <c r="G638" s="13">
        <f t="shared" si="29"/>
        <v>31</v>
      </c>
      <c r="H638" s="13">
        <v>154</v>
      </c>
      <c r="I638" s="14">
        <f t="shared" si="30"/>
        <v>-153.89589041095891</v>
      </c>
      <c r="J638" s="15" t="s">
        <v>1366</v>
      </c>
      <c r="K638" s="10" t="s">
        <v>311</v>
      </c>
      <c r="L638" s="19">
        <v>99</v>
      </c>
      <c r="M638" s="19">
        <f>1000/L638</f>
        <v>10.1010101010101</v>
      </c>
      <c r="N638" s="19">
        <f>8.33*M638</f>
        <v>84.141414141414131</v>
      </c>
      <c r="O638" s="19">
        <f>1.613*N638</f>
        <v>135.72010101010099</v>
      </c>
      <c r="P638" t="s">
        <v>311</v>
      </c>
      <c r="Q638" s="20">
        <v>90</v>
      </c>
      <c r="R638" s="19">
        <f>1000/Q638</f>
        <v>11.111111111111111</v>
      </c>
      <c r="S638" s="19">
        <f>8.33*R638</f>
        <v>92.555555555555557</v>
      </c>
      <c r="T638" s="19">
        <f>S638*1.33</f>
        <v>123.09888888888889</v>
      </c>
      <c r="AK638" t="s">
        <v>1367</v>
      </c>
    </row>
    <row r="639" spans="1:37" x14ac:dyDescent="0.2">
      <c r="A639">
        <v>-154</v>
      </c>
      <c r="B639" s="10" t="s">
        <v>154</v>
      </c>
      <c r="C639" s="11" t="s">
        <v>42</v>
      </c>
      <c r="D639" s="15" t="s">
        <v>1368</v>
      </c>
      <c r="E639" s="13">
        <v>17</v>
      </c>
      <c r="F639" s="13">
        <v>2</v>
      </c>
      <c r="G639" s="13">
        <f t="shared" si="29"/>
        <v>31</v>
      </c>
      <c r="H639" s="13">
        <v>154</v>
      </c>
      <c r="I639" s="14">
        <f t="shared" si="30"/>
        <v>-153.86849315068494</v>
      </c>
      <c r="J639" s="15" t="s">
        <v>1369</v>
      </c>
      <c r="K639" s="10">
        <v>96</v>
      </c>
      <c r="L639" s="16">
        <v>96</v>
      </c>
      <c r="M639" s="16">
        <f>1000/L639</f>
        <v>10.416666666666666</v>
      </c>
      <c r="N639" s="16">
        <f>8.33*M639</f>
        <v>86.770833333333329</v>
      </c>
      <c r="O639" s="16">
        <f>1.613*N639</f>
        <v>139.96135416666667</v>
      </c>
      <c r="R639" s="19"/>
      <c r="S639" s="19"/>
    </row>
    <row r="640" spans="1:37" x14ac:dyDescent="0.2">
      <c r="A640">
        <v>-154</v>
      </c>
      <c r="B640" s="10" t="s">
        <v>154</v>
      </c>
      <c r="C640" s="11" t="s">
        <v>45</v>
      </c>
      <c r="D640" s="15" t="s">
        <v>1370</v>
      </c>
      <c r="E640" s="13">
        <v>27</v>
      </c>
      <c r="F640" s="13">
        <v>2</v>
      </c>
      <c r="G640" s="13">
        <f t="shared" si="29"/>
        <v>31</v>
      </c>
      <c r="H640" s="13">
        <v>154</v>
      </c>
      <c r="I640" s="14">
        <f t="shared" si="30"/>
        <v>-153.84109589041097</v>
      </c>
      <c r="J640" s="15" t="s">
        <v>1371</v>
      </c>
      <c r="K640" s="10" t="s">
        <v>1372</v>
      </c>
      <c r="L640" s="19">
        <v>93</v>
      </c>
      <c r="M640" s="19">
        <f>1000/L640</f>
        <v>10.75268817204301</v>
      </c>
      <c r="N640" s="19">
        <f>8.33*M640</f>
        <v>89.569892473118273</v>
      </c>
      <c r="O640" s="19">
        <f>1.613*N640</f>
        <v>144.47623655913978</v>
      </c>
      <c r="P640" t="s">
        <v>311</v>
      </c>
      <c r="Q640" s="20">
        <v>90</v>
      </c>
      <c r="R640" s="19">
        <f>1000/Q640</f>
        <v>11.111111111111111</v>
      </c>
      <c r="S640" s="19">
        <f>8.33*R640</f>
        <v>92.555555555555557</v>
      </c>
      <c r="T640" s="19">
        <f>S640*1.33</f>
        <v>123.09888888888889</v>
      </c>
      <c r="AK640" t="s">
        <v>1373</v>
      </c>
    </row>
    <row r="641" spans="1:37" x14ac:dyDescent="0.2">
      <c r="A641">
        <v>-153</v>
      </c>
      <c r="B641" s="10" t="s">
        <v>285</v>
      </c>
      <c r="D641" s="15" t="s">
        <v>1374</v>
      </c>
      <c r="E641" s="13">
        <v>3</v>
      </c>
      <c r="F641" s="13">
        <v>8</v>
      </c>
      <c r="G641" s="13">
        <f t="shared" si="29"/>
        <v>212</v>
      </c>
      <c r="H641" s="13">
        <v>154</v>
      </c>
      <c r="I641" s="14">
        <f t="shared" si="30"/>
        <v>-153.41095890410958</v>
      </c>
      <c r="J641" s="15" t="s">
        <v>1375</v>
      </c>
      <c r="AG641" s="1">
        <v>2.5</v>
      </c>
      <c r="AH641" s="9">
        <v>2.5</v>
      </c>
      <c r="AI641" s="8">
        <f>1/AH641</f>
        <v>0.4</v>
      </c>
      <c r="AJ641" s="8">
        <f>8.33*AI641</f>
        <v>3.3320000000000003</v>
      </c>
    </row>
    <row r="642" spans="1:37" x14ac:dyDescent="0.2">
      <c r="A642">
        <v>-149</v>
      </c>
      <c r="B642" s="10" t="s">
        <v>91</v>
      </c>
      <c r="D642" s="15" t="s">
        <v>1376</v>
      </c>
      <c r="E642" s="13">
        <v>17</v>
      </c>
      <c r="F642" s="13">
        <v>10</v>
      </c>
      <c r="G642" s="13">
        <f t="shared" ref="G642:G705" si="32">INDEX(A$1502:A$1513,F642)</f>
        <v>273</v>
      </c>
      <c r="H642" s="13">
        <v>150</v>
      </c>
      <c r="I642" s="14">
        <f t="shared" si="30"/>
        <v>-149.20547945205479</v>
      </c>
      <c r="J642" s="15" t="s">
        <v>1377</v>
      </c>
      <c r="Y642" s="1">
        <v>66</v>
      </c>
      <c r="Z642" s="9">
        <v>66</v>
      </c>
      <c r="AA642" s="8">
        <f>1000/Z642</f>
        <v>15.151515151515152</v>
      </c>
      <c r="AB642" s="8">
        <f>8.33*AA642</f>
        <v>126.21212121212122</v>
      </c>
      <c r="AG642" s="1">
        <v>2.5</v>
      </c>
      <c r="AH642" s="9">
        <v>2.5</v>
      </c>
      <c r="AI642" s="8">
        <f>1/AH642</f>
        <v>0.4</v>
      </c>
      <c r="AJ642" s="8">
        <f>8.33*AI642</f>
        <v>3.3320000000000003</v>
      </c>
    </row>
    <row r="643" spans="1:37" x14ac:dyDescent="0.2">
      <c r="A643">
        <v>-149</v>
      </c>
      <c r="B643" s="10" t="s">
        <v>91</v>
      </c>
      <c r="C643" s="11" t="s">
        <v>39</v>
      </c>
      <c r="D643" s="15" t="s">
        <v>1376</v>
      </c>
      <c r="E643" s="13">
        <v>17</v>
      </c>
      <c r="F643" s="13">
        <v>10</v>
      </c>
      <c r="G643" s="13">
        <f t="shared" si="32"/>
        <v>273</v>
      </c>
      <c r="H643" s="13">
        <v>150</v>
      </c>
      <c r="I643" s="14">
        <f t="shared" ref="I643:I706" si="33">($E643+$G643)/365-$H643</f>
        <v>-149.20547945205479</v>
      </c>
      <c r="J643" s="15" t="s">
        <v>1378</v>
      </c>
    </row>
    <row r="644" spans="1:37" x14ac:dyDescent="0.2">
      <c r="A644">
        <v>-149</v>
      </c>
      <c r="B644" s="10" t="s">
        <v>91</v>
      </c>
      <c r="C644" s="11" t="s">
        <v>42</v>
      </c>
      <c r="D644" s="15" t="s">
        <v>1379</v>
      </c>
      <c r="E644" s="13">
        <v>27</v>
      </c>
      <c r="F644" s="13">
        <v>10</v>
      </c>
      <c r="G644" s="13">
        <f t="shared" si="32"/>
        <v>273</v>
      </c>
      <c r="H644" s="13">
        <v>150</v>
      </c>
      <c r="I644" s="14">
        <f t="shared" si="33"/>
        <v>-149.17808219178082</v>
      </c>
      <c r="J644" s="15" t="s">
        <v>1380</v>
      </c>
      <c r="Y644" s="1"/>
      <c r="Z644" s="9"/>
      <c r="AC644" t="s">
        <v>148</v>
      </c>
      <c r="AD644" s="20">
        <v>33</v>
      </c>
      <c r="AE644" s="19">
        <f>1000/AD644</f>
        <v>30.303030303030305</v>
      </c>
      <c r="AF644" s="19">
        <f>8.33*AE644</f>
        <v>252.42424242424244</v>
      </c>
      <c r="AG644" s="1"/>
      <c r="AH644" s="9"/>
    </row>
    <row r="645" spans="1:37" x14ac:dyDescent="0.2">
      <c r="A645">
        <v>-149</v>
      </c>
      <c r="B645" s="10" t="s">
        <v>91</v>
      </c>
      <c r="C645" s="11" t="s">
        <v>45</v>
      </c>
      <c r="D645" s="15" t="s">
        <v>1381</v>
      </c>
      <c r="E645" s="13">
        <v>6</v>
      </c>
      <c r="F645" s="13">
        <v>11</v>
      </c>
      <c r="G645" s="13">
        <f t="shared" si="32"/>
        <v>304</v>
      </c>
      <c r="H645" s="13">
        <v>150</v>
      </c>
      <c r="I645" s="14">
        <f t="shared" si="33"/>
        <v>-149.15068493150685</v>
      </c>
      <c r="J645" s="15" t="s">
        <v>1377</v>
      </c>
      <c r="Y645" s="1"/>
      <c r="Z645" s="9"/>
      <c r="AC645" t="s">
        <v>41</v>
      </c>
      <c r="AG645" s="1"/>
      <c r="AH645" s="9"/>
    </row>
    <row r="646" spans="1:37" x14ac:dyDescent="0.2">
      <c r="A646">
        <v>-144</v>
      </c>
      <c r="B646" s="10" t="s">
        <v>72</v>
      </c>
      <c r="D646" s="15" t="s">
        <v>1382</v>
      </c>
      <c r="E646" s="13">
        <v>23</v>
      </c>
      <c r="F646" s="13">
        <v>8</v>
      </c>
      <c r="G646" s="13">
        <f t="shared" si="32"/>
        <v>212</v>
      </c>
      <c r="H646" s="13">
        <v>145</v>
      </c>
      <c r="I646" s="14">
        <f t="shared" si="33"/>
        <v>-144.35616438356163</v>
      </c>
      <c r="J646" s="15" t="s">
        <v>1383</v>
      </c>
      <c r="Y646" s="1"/>
      <c r="Z646" s="9"/>
      <c r="AG646" s="1">
        <v>2.5</v>
      </c>
      <c r="AH646" s="9">
        <v>2.5</v>
      </c>
      <c r="AI646" s="8">
        <f>1/AH646</f>
        <v>0.4</v>
      </c>
      <c r="AJ646" s="8">
        <f>8.33*AI646</f>
        <v>3.3320000000000003</v>
      </c>
    </row>
    <row r="647" spans="1:37" x14ac:dyDescent="0.2">
      <c r="A647">
        <v>-144</v>
      </c>
      <c r="B647" s="10" t="s">
        <v>288</v>
      </c>
      <c r="C647" s="11" t="s">
        <v>39</v>
      </c>
      <c r="D647" s="15" t="s">
        <v>1382</v>
      </c>
      <c r="E647" s="13">
        <v>23</v>
      </c>
      <c r="F647" s="13">
        <v>8</v>
      </c>
      <c r="G647" s="13">
        <f t="shared" si="32"/>
        <v>212</v>
      </c>
      <c r="H647" s="13">
        <v>145</v>
      </c>
      <c r="I647" s="14">
        <f t="shared" si="33"/>
        <v>-144.35616438356163</v>
      </c>
      <c r="J647" s="15" t="s">
        <v>1384</v>
      </c>
      <c r="K647" s="10">
        <v>66</v>
      </c>
      <c r="L647" s="16">
        <v>66</v>
      </c>
      <c r="M647" s="16">
        <f>1000/L647</f>
        <v>15.151515151515152</v>
      </c>
      <c r="N647" s="16">
        <f>8.33*M647</f>
        <v>126.21212121212122</v>
      </c>
      <c r="O647" s="16">
        <f>1.613*N647</f>
        <v>203.58015151515153</v>
      </c>
      <c r="P647">
        <v>252</v>
      </c>
      <c r="Q647" s="17">
        <v>252</v>
      </c>
      <c r="R647" s="16">
        <f>1000/Q647</f>
        <v>3.9682539682539684</v>
      </c>
      <c r="S647" s="16">
        <f>8.33*R647</f>
        <v>33.055555555555557</v>
      </c>
      <c r="T647" s="16">
        <f>S647*1.33</f>
        <v>43.963888888888896</v>
      </c>
    </row>
    <row r="648" spans="1:37" x14ac:dyDescent="0.2">
      <c r="A648">
        <v>-144</v>
      </c>
      <c r="B648" s="10" t="s">
        <v>288</v>
      </c>
      <c r="C648" s="11" t="s">
        <v>42</v>
      </c>
      <c r="D648" s="15" t="s">
        <v>1385</v>
      </c>
      <c r="E648" s="13">
        <v>2</v>
      </c>
      <c r="F648" s="13">
        <v>9</v>
      </c>
      <c r="G648" s="13">
        <f t="shared" si="32"/>
        <v>243</v>
      </c>
      <c r="H648" s="13">
        <v>145</v>
      </c>
      <c r="I648" s="14">
        <f t="shared" si="33"/>
        <v>-144.32876712328766</v>
      </c>
      <c r="J648" s="15" t="s">
        <v>1386</v>
      </c>
      <c r="K648" s="10">
        <v>69</v>
      </c>
      <c r="L648" s="16">
        <v>69</v>
      </c>
      <c r="M648" s="16">
        <f>1000/L648</f>
        <v>14.492753623188406</v>
      </c>
      <c r="N648" s="16">
        <f>8.33*M648</f>
        <v>120.72463768115942</v>
      </c>
      <c r="O648" s="16">
        <f>1.613*N648</f>
        <v>194.72884057971015</v>
      </c>
      <c r="P648" t="s">
        <v>1387</v>
      </c>
      <c r="Q648" s="20">
        <v>272</v>
      </c>
      <c r="R648" s="19">
        <f>1000/Q648</f>
        <v>3.6764705882352939</v>
      </c>
      <c r="S648" s="19">
        <f>8.33*R648</f>
        <v>30.625</v>
      </c>
      <c r="T648" s="19">
        <f>S648*1.33</f>
        <v>40.731250000000003</v>
      </c>
      <c r="AC648">
        <v>20</v>
      </c>
      <c r="AD648" s="17">
        <v>20</v>
      </c>
      <c r="AE648" s="16">
        <f>1000/AD648</f>
        <v>50</v>
      </c>
      <c r="AF648" s="16">
        <f>8.33*AE648</f>
        <v>416.5</v>
      </c>
    </row>
    <row r="649" spans="1:37" x14ac:dyDescent="0.2">
      <c r="A649">
        <v>-144</v>
      </c>
      <c r="B649" s="10" t="s">
        <v>288</v>
      </c>
      <c r="C649" s="11" t="s">
        <v>45</v>
      </c>
      <c r="D649" s="15" t="s">
        <v>1388</v>
      </c>
      <c r="E649" s="13">
        <v>12</v>
      </c>
      <c r="F649" s="13">
        <v>9</v>
      </c>
      <c r="G649" s="13">
        <f t="shared" si="32"/>
        <v>243</v>
      </c>
      <c r="H649" s="13">
        <v>145</v>
      </c>
      <c r="I649" s="14">
        <f t="shared" si="33"/>
        <v>-144.30136986301369</v>
      </c>
      <c r="J649" s="15" t="s">
        <v>1383</v>
      </c>
      <c r="K649" s="10">
        <v>66</v>
      </c>
      <c r="L649" s="16">
        <v>66</v>
      </c>
      <c r="M649" s="16">
        <f>1000/L649</f>
        <v>15.151515151515152</v>
      </c>
      <c r="N649" s="16">
        <f>8.33*M649</f>
        <v>126.21212121212122</v>
      </c>
      <c r="O649" s="16">
        <f>1.613*N649</f>
        <v>203.58015151515153</v>
      </c>
      <c r="T649" s="8"/>
      <c r="AC649">
        <v>18</v>
      </c>
      <c r="AD649" s="17">
        <v>18</v>
      </c>
      <c r="AE649" s="16">
        <f>1000/AD649</f>
        <v>55.555555555555557</v>
      </c>
      <c r="AF649" s="16">
        <f>8.33*AE649</f>
        <v>462.77777777777777</v>
      </c>
    </row>
    <row r="650" spans="1:37" x14ac:dyDescent="0.2">
      <c r="A650">
        <v>-144</v>
      </c>
      <c r="B650" s="10" t="s">
        <v>91</v>
      </c>
      <c r="D650" s="15" t="s">
        <v>1389</v>
      </c>
      <c r="E650" s="13">
        <v>22</v>
      </c>
      <c r="F650" s="13">
        <v>9</v>
      </c>
      <c r="G650" s="13">
        <f t="shared" si="32"/>
        <v>243</v>
      </c>
      <c r="H650" s="13">
        <v>145</v>
      </c>
      <c r="I650" s="14">
        <f t="shared" si="33"/>
        <v>-144.27397260273972</v>
      </c>
      <c r="J650" s="15" t="s">
        <v>1390</v>
      </c>
      <c r="K650" s="2">
        <v>66</v>
      </c>
      <c r="L650" s="8">
        <v>66</v>
      </c>
      <c r="M650" s="8">
        <f>1000/L650</f>
        <v>15.151515151515152</v>
      </c>
      <c r="N650" s="8">
        <f>8.33*M650</f>
        <v>126.21212121212122</v>
      </c>
      <c r="O650" s="8">
        <f>1.613*N650</f>
        <v>203.58015151515153</v>
      </c>
      <c r="P650" s="1">
        <v>321</v>
      </c>
      <c r="Q650" s="9">
        <v>321</v>
      </c>
      <c r="R650" s="8">
        <f>1000/Q650</f>
        <v>3.1152647975077881</v>
      </c>
      <c r="S650" s="8">
        <f>8.33*R650</f>
        <v>25.950155763239874</v>
      </c>
      <c r="T650" s="8">
        <f>S650*1.33</f>
        <v>34.513707165109032</v>
      </c>
      <c r="AG650" s="1">
        <v>2.5</v>
      </c>
      <c r="AH650" s="9">
        <v>2.5</v>
      </c>
      <c r="AI650" s="8">
        <f>1/AH650</f>
        <v>0.4</v>
      </c>
      <c r="AJ650" s="8">
        <f>8.33*AI650</f>
        <v>3.3320000000000003</v>
      </c>
    </row>
    <row r="651" spans="1:37" x14ac:dyDescent="0.2">
      <c r="A651">
        <v>-144</v>
      </c>
      <c r="B651" s="10" t="s">
        <v>91</v>
      </c>
      <c r="C651" s="11" t="s">
        <v>39</v>
      </c>
      <c r="D651" s="15" t="s">
        <v>1389</v>
      </c>
      <c r="E651" s="13">
        <v>22</v>
      </c>
      <c r="F651" s="13">
        <v>9</v>
      </c>
      <c r="G651" s="13">
        <f t="shared" si="32"/>
        <v>243</v>
      </c>
      <c r="H651" s="13">
        <v>145</v>
      </c>
      <c r="I651" s="14">
        <f t="shared" si="33"/>
        <v>-144.27397260273972</v>
      </c>
      <c r="J651" s="15" t="s">
        <v>1391</v>
      </c>
      <c r="R651" s="8"/>
      <c r="S651" s="8"/>
      <c r="T651" s="8"/>
      <c r="U651" t="s">
        <v>41</v>
      </c>
    </row>
    <row r="652" spans="1:37" x14ac:dyDescent="0.2">
      <c r="A652">
        <v>-144</v>
      </c>
      <c r="B652" s="10" t="s">
        <v>91</v>
      </c>
      <c r="C652" s="11" t="s">
        <v>42</v>
      </c>
      <c r="D652" s="15" t="s">
        <v>1392</v>
      </c>
      <c r="E652" s="13">
        <v>2</v>
      </c>
      <c r="F652" s="13">
        <v>10</v>
      </c>
      <c r="G652" s="13">
        <f t="shared" si="32"/>
        <v>273</v>
      </c>
      <c r="H652" s="13">
        <v>145</v>
      </c>
      <c r="I652" s="14">
        <f t="shared" si="33"/>
        <v>-144.24657534246575</v>
      </c>
      <c r="J652" s="15" t="s">
        <v>1393</v>
      </c>
      <c r="R652" s="8"/>
      <c r="S652" s="8"/>
      <c r="T652" s="8"/>
      <c r="AC652">
        <v>16.5</v>
      </c>
      <c r="AD652" s="17">
        <v>16.5</v>
      </c>
      <c r="AE652" s="16">
        <f>1000/AD652</f>
        <v>60.606060606060609</v>
      </c>
      <c r="AF652" s="16">
        <f>8.33*AE652</f>
        <v>504.84848484848487</v>
      </c>
    </row>
    <row r="653" spans="1:37" x14ac:dyDescent="0.2">
      <c r="A653">
        <v>-144</v>
      </c>
      <c r="B653" s="10" t="s">
        <v>91</v>
      </c>
      <c r="C653" s="11" t="s">
        <v>45</v>
      </c>
      <c r="D653" s="15" t="s">
        <v>1394</v>
      </c>
      <c r="E653" s="13">
        <v>12</v>
      </c>
      <c r="F653" s="13">
        <v>10</v>
      </c>
      <c r="G653" s="13">
        <f t="shared" si="32"/>
        <v>273</v>
      </c>
      <c r="H653" s="13">
        <v>145</v>
      </c>
      <c r="I653" s="14">
        <f t="shared" si="33"/>
        <v>-144.21917808219177</v>
      </c>
      <c r="J653" s="15" t="s">
        <v>1390</v>
      </c>
      <c r="R653" s="8"/>
      <c r="S653" s="8"/>
      <c r="T653" s="8"/>
      <c r="AC653">
        <v>17</v>
      </c>
      <c r="AD653" s="17">
        <v>17</v>
      </c>
      <c r="AE653" s="16">
        <f>1000/AD653</f>
        <v>58.823529411764703</v>
      </c>
      <c r="AF653" s="16">
        <f>8.33*AE653</f>
        <v>490</v>
      </c>
      <c r="AG653" t="s">
        <v>1259</v>
      </c>
      <c r="AH653" s="17" t="s">
        <v>1259</v>
      </c>
    </row>
    <row r="654" spans="1:37" x14ac:dyDescent="0.2">
      <c r="A654">
        <v>-144</v>
      </c>
      <c r="B654" s="10" t="s">
        <v>94</v>
      </c>
      <c r="D654" s="15" t="s">
        <v>1395</v>
      </c>
      <c r="E654" s="13">
        <v>21</v>
      </c>
      <c r="F654" s="13">
        <v>10</v>
      </c>
      <c r="G654" s="13">
        <f t="shared" si="32"/>
        <v>273</v>
      </c>
      <c r="H654" s="13">
        <v>145</v>
      </c>
      <c r="I654" s="14">
        <f t="shared" si="33"/>
        <v>-144.19452054794522</v>
      </c>
      <c r="J654" s="15" t="s">
        <v>1396</v>
      </c>
      <c r="K654" s="10" t="s">
        <v>41</v>
      </c>
      <c r="P654" s="1">
        <v>300</v>
      </c>
      <c r="Q654" s="9">
        <v>300</v>
      </c>
      <c r="R654" s="8">
        <f>1000/Q654</f>
        <v>3.3333333333333335</v>
      </c>
      <c r="S654" s="8">
        <f>8.33*R654</f>
        <v>27.766666666666669</v>
      </c>
      <c r="T654" s="22">
        <f>S654*1.33</f>
        <v>36.92966666666667</v>
      </c>
      <c r="U654" s="1">
        <v>720</v>
      </c>
      <c r="V654" s="9">
        <v>720</v>
      </c>
      <c r="W654" s="8">
        <f>1000/V654</f>
        <v>1.3888888888888888</v>
      </c>
      <c r="X654" s="8">
        <f>8.33*W654</f>
        <v>11.569444444444445</v>
      </c>
      <c r="Y654" s="1">
        <v>30</v>
      </c>
      <c r="Z654" s="9">
        <v>30</v>
      </c>
      <c r="AA654" s="8">
        <f>1000/Z654</f>
        <v>33.333333333333336</v>
      </c>
      <c r="AB654" s="8">
        <f>8.33*AA654</f>
        <v>277.66666666666669</v>
      </c>
      <c r="AC654" s="1">
        <v>15</v>
      </c>
      <c r="AD654" s="9">
        <v>15</v>
      </c>
      <c r="AE654" s="8">
        <f>1000/AD654</f>
        <v>66.666666666666671</v>
      </c>
      <c r="AF654" s="8">
        <f>8.33*AE654</f>
        <v>555.33333333333337</v>
      </c>
      <c r="AG654" s="1">
        <v>2.5</v>
      </c>
      <c r="AH654" s="9">
        <v>2.5</v>
      </c>
      <c r="AI654" s="8">
        <f>1/AH654</f>
        <v>0.4</v>
      </c>
      <c r="AJ654" s="8">
        <f>8.33*AI654</f>
        <v>3.3320000000000003</v>
      </c>
      <c r="AK654" t="s">
        <v>1397</v>
      </c>
    </row>
    <row r="655" spans="1:37" x14ac:dyDescent="0.2">
      <c r="A655">
        <v>-144</v>
      </c>
      <c r="B655" s="10" t="s">
        <v>94</v>
      </c>
      <c r="C655" s="11" t="s">
        <v>1398</v>
      </c>
      <c r="D655" s="15" t="s">
        <v>1399</v>
      </c>
      <c r="E655" s="13">
        <v>1</v>
      </c>
      <c r="F655" s="13">
        <v>11</v>
      </c>
      <c r="G655" s="13">
        <f t="shared" si="32"/>
        <v>304</v>
      </c>
      <c r="H655" s="13">
        <v>145</v>
      </c>
      <c r="I655" s="14">
        <f t="shared" si="33"/>
        <v>-144.16438356164383</v>
      </c>
      <c r="J655" s="15" t="s">
        <v>1400</v>
      </c>
      <c r="P655" s="18">
        <v>318</v>
      </c>
      <c r="Q655" s="9"/>
      <c r="T655" s="8"/>
      <c r="U655" s="1"/>
      <c r="V655" s="9"/>
      <c r="Y655" s="1"/>
      <c r="Z655" s="9"/>
      <c r="AC655" s="1"/>
      <c r="AD655" s="9"/>
      <c r="AG655" s="1"/>
      <c r="AH655" s="9"/>
      <c r="AK655" t="s">
        <v>319</v>
      </c>
    </row>
    <row r="656" spans="1:37" x14ac:dyDescent="0.2">
      <c r="A656">
        <v>-143</v>
      </c>
      <c r="B656" s="10" t="s">
        <v>130</v>
      </c>
      <c r="D656" s="15" t="s">
        <v>1401</v>
      </c>
      <c r="E656" s="13">
        <v>13</v>
      </c>
      <c r="F656" s="13">
        <v>7</v>
      </c>
      <c r="G656" s="13">
        <f t="shared" si="32"/>
        <v>181</v>
      </c>
      <c r="H656" s="13">
        <v>144</v>
      </c>
      <c r="I656" s="14">
        <f t="shared" si="33"/>
        <v>-143.46849315068494</v>
      </c>
      <c r="J656" s="15" t="s">
        <v>1402</v>
      </c>
      <c r="P656" s="18"/>
      <c r="Q656" s="9"/>
      <c r="T656" s="8"/>
      <c r="U656" s="1"/>
      <c r="V656" s="9"/>
      <c r="Y656" s="1"/>
      <c r="Z656" s="9"/>
      <c r="AC656" s="1"/>
      <c r="AD656" s="9"/>
      <c r="AG656" s="1"/>
      <c r="AH656" s="9"/>
    </row>
    <row r="657" spans="1:39" x14ac:dyDescent="0.2">
      <c r="A657">
        <v>-143</v>
      </c>
      <c r="B657" s="10" t="s">
        <v>130</v>
      </c>
      <c r="C657" s="11" t="s">
        <v>39</v>
      </c>
      <c r="D657" s="15" t="s">
        <v>1401</v>
      </c>
      <c r="E657" s="13">
        <v>13</v>
      </c>
      <c r="F657" s="13">
        <v>7</v>
      </c>
      <c r="G657" s="13">
        <f t="shared" si="32"/>
        <v>181</v>
      </c>
      <c r="H657" s="13">
        <v>144</v>
      </c>
      <c r="I657" s="14">
        <f t="shared" si="33"/>
        <v>-143.46849315068494</v>
      </c>
      <c r="J657" s="15" t="s">
        <v>1403</v>
      </c>
      <c r="K657" s="10" t="s">
        <v>1404</v>
      </c>
      <c r="L657" s="19">
        <v>84</v>
      </c>
      <c r="M657" s="19">
        <f>1000/L657</f>
        <v>11.904761904761905</v>
      </c>
      <c r="N657" s="19">
        <f>8.33*M657</f>
        <v>99.166666666666671</v>
      </c>
      <c r="O657" s="19">
        <f>1.613*N657</f>
        <v>159.95583333333335</v>
      </c>
      <c r="P657" t="s">
        <v>1405</v>
      </c>
      <c r="Q657" s="20">
        <v>240</v>
      </c>
      <c r="R657" s="19">
        <f>1000/Q657</f>
        <v>4.166666666666667</v>
      </c>
      <c r="S657" s="19">
        <f>8.33*R657</f>
        <v>34.708333333333336</v>
      </c>
      <c r="T657" s="19">
        <f>S657*1.33</f>
        <v>46.162083333333342</v>
      </c>
      <c r="Y657">
        <v>34</v>
      </c>
      <c r="Z657" s="17">
        <v>34</v>
      </c>
      <c r="AA657" s="16">
        <f>1000/Z657</f>
        <v>29.411764705882351</v>
      </c>
      <c r="AB657" s="16">
        <f>8.33*AA657</f>
        <v>245</v>
      </c>
      <c r="AC657">
        <v>21</v>
      </c>
      <c r="AD657" s="17">
        <v>21</v>
      </c>
      <c r="AE657" s="16">
        <f>1000/AD657</f>
        <v>47.61904761904762</v>
      </c>
      <c r="AF657" s="16">
        <f>8.33*AE657</f>
        <v>396.66666666666669</v>
      </c>
      <c r="AK657" t="s">
        <v>1406</v>
      </c>
      <c r="AM657" t="s">
        <v>1407</v>
      </c>
    </row>
    <row r="658" spans="1:39" x14ac:dyDescent="0.2">
      <c r="A658">
        <v>-143</v>
      </c>
      <c r="B658" s="10" t="s">
        <v>130</v>
      </c>
      <c r="C658" s="31" t="s">
        <v>1408</v>
      </c>
      <c r="D658" s="7" t="s">
        <v>1409</v>
      </c>
      <c r="E658" s="13">
        <v>23</v>
      </c>
      <c r="F658" s="13">
        <v>7</v>
      </c>
      <c r="G658" s="13">
        <f t="shared" si="32"/>
        <v>181</v>
      </c>
      <c r="H658" s="13">
        <v>144</v>
      </c>
      <c r="I658" s="14">
        <f t="shared" si="33"/>
        <v>-143.44109589041096</v>
      </c>
      <c r="J658" s="7" t="s">
        <v>1410</v>
      </c>
      <c r="P658" t="s">
        <v>501</v>
      </c>
      <c r="T658" s="8"/>
    </row>
    <row r="659" spans="1:39" x14ac:dyDescent="0.2">
      <c r="A659">
        <v>-143</v>
      </c>
      <c r="B659" s="10" t="s">
        <v>130</v>
      </c>
      <c r="C659" s="11" t="s">
        <v>45</v>
      </c>
      <c r="D659" s="15" t="s">
        <v>1411</v>
      </c>
      <c r="E659" s="13">
        <v>2</v>
      </c>
      <c r="F659" s="13">
        <v>8</v>
      </c>
      <c r="G659" s="13">
        <f t="shared" si="32"/>
        <v>212</v>
      </c>
      <c r="H659" s="13">
        <v>144</v>
      </c>
      <c r="I659" s="14">
        <f t="shared" si="33"/>
        <v>-143.41369863013699</v>
      </c>
      <c r="J659" s="15" t="s">
        <v>1402</v>
      </c>
      <c r="T659" s="8"/>
      <c r="Y659">
        <v>36</v>
      </c>
      <c r="Z659" s="17">
        <v>36</v>
      </c>
      <c r="AA659" s="16">
        <f>1000/Z659</f>
        <v>27.777777777777779</v>
      </c>
      <c r="AB659" s="16">
        <f>8.33*AA659</f>
        <v>231.38888888888889</v>
      </c>
      <c r="AC659" t="s">
        <v>41</v>
      </c>
    </row>
    <row r="660" spans="1:39" x14ac:dyDescent="0.2">
      <c r="A660">
        <v>-143</v>
      </c>
      <c r="B660" s="10" t="s">
        <v>94</v>
      </c>
      <c r="C660" s="11" t="s">
        <v>39</v>
      </c>
      <c r="D660" s="15" t="s">
        <v>1412</v>
      </c>
      <c r="E660" s="13">
        <v>8</v>
      </c>
      <c r="F660" s="13">
        <v>11</v>
      </c>
      <c r="G660" s="13">
        <f t="shared" si="32"/>
        <v>304</v>
      </c>
      <c r="H660" s="13">
        <v>144</v>
      </c>
      <c r="I660" s="14">
        <f t="shared" si="33"/>
        <v>-143.14520547945204</v>
      </c>
      <c r="J660" s="15" t="s">
        <v>1413</v>
      </c>
      <c r="K660" s="10">
        <v>135</v>
      </c>
      <c r="L660" s="16">
        <v>135</v>
      </c>
      <c r="M660" s="16">
        <f>1000/L660</f>
        <v>7.4074074074074074</v>
      </c>
      <c r="N660" s="16">
        <f>8.33*M660</f>
        <v>61.703703703703702</v>
      </c>
      <c r="O660" s="16">
        <f>1.613*N660</f>
        <v>99.52807407407407</v>
      </c>
      <c r="T660" s="8"/>
    </row>
    <row r="661" spans="1:39" x14ac:dyDescent="0.2">
      <c r="A661">
        <v>-143</v>
      </c>
      <c r="B661" s="10" t="s">
        <v>94</v>
      </c>
      <c r="C661" s="11" t="s">
        <v>42</v>
      </c>
      <c r="D661" s="15" t="s">
        <v>1414</v>
      </c>
      <c r="E661" s="13">
        <v>18</v>
      </c>
      <c r="F661" s="13">
        <v>11</v>
      </c>
      <c r="G661" s="13">
        <f t="shared" si="32"/>
        <v>304</v>
      </c>
      <c r="H661" s="13">
        <v>144</v>
      </c>
      <c r="I661" s="14">
        <f t="shared" si="33"/>
        <v>-143.11780821917807</v>
      </c>
      <c r="J661" s="15" t="s">
        <v>1415</v>
      </c>
      <c r="T661" s="8"/>
    </row>
    <row r="662" spans="1:39" x14ac:dyDescent="0.2">
      <c r="A662">
        <v>-143</v>
      </c>
      <c r="B662" s="10" t="s">
        <v>94</v>
      </c>
      <c r="C662" s="11" t="s">
        <v>45</v>
      </c>
      <c r="D662" s="26" t="s">
        <v>1416</v>
      </c>
      <c r="E662" s="13">
        <v>28</v>
      </c>
      <c r="F662" s="13">
        <v>11</v>
      </c>
      <c r="G662" s="13">
        <f t="shared" si="32"/>
        <v>304</v>
      </c>
      <c r="H662" s="13">
        <v>144</v>
      </c>
      <c r="I662" s="14">
        <f t="shared" si="33"/>
        <v>-143.0904109589041</v>
      </c>
      <c r="J662" s="26" t="s">
        <v>1417</v>
      </c>
      <c r="T662" s="8"/>
    </row>
    <row r="663" spans="1:39" x14ac:dyDescent="0.2">
      <c r="A663">
        <v>-143</v>
      </c>
      <c r="B663" s="10" t="s">
        <v>94</v>
      </c>
      <c r="C663" s="31" t="s">
        <v>1418</v>
      </c>
      <c r="D663" s="7" t="s">
        <v>1419</v>
      </c>
      <c r="E663" s="13">
        <v>30</v>
      </c>
      <c r="F663" s="13">
        <v>11</v>
      </c>
      <c r="G663" s="13">
        <f t="shared" si="32"/>
        <v>304</v>
      </c>
      <c r="H663" s="13">
        <v>144</v>
      </c>
      <c r="I663" s="14">
        <f t="shared" si="33"/>
        <v>-143.0849315068493</v>
      </c>
      <c r="J663" s="7" t="s">
        <v>1420</v>
      </c>
      <c r="K663" s="10" t="s">
        <v>1421</v>
      </c>
      <c r="L663" s="19">
        <v>132</v>
      </c>
      <c r="M663" s="19">
        <f>1000/L663</f>
        <v>7.5757575757575761</v>
      </c>
      <c r="N663" s="19">
        <f>8.33*M663</f>
        <v>63.106060606060609</v>
      </c>
      <c r="O663" s="19">
        <f>1.613*N663</f>
        <v>101.79007575757576</v>
      </c>
      <c r="T663" s="8"/>
    </row>
    <row r="664" spans="1:39" x14ac:dyDescent="0.2">
      <c r="A664">
        <v>-142</v>
      </c>
      <c r="B664" s="10" t="s">
        <v>94</v>
      </c>
      <c r="D664" s="15" t="s">
        <v>1422</v>
      </c>
      <c r="E664" s="13">
        <v>28</v>
      </c>
      <c r="F664" s="13">
        <v>10</v>
      </c>
      <c r="G664" s="13">
        <f t="shared" si="32"/>
        <v>273</v>
      </c>
      <c r="H664" s="13">
        <v>143</v>
      </c>
      <c r="I664" s="14">
        <f t="shared" si="33"/>
        <v>-142.17534246575343</v>
      </c>
      <c r="J664" s="15" t="s">
        <v>1423</v>
      </c>
      <c r="K664" s="2">
        <v>114</v>
      </c>
      <c r="L664" s="8">
        <v>114</v>
      </c>
      <c r="M664" s="8">
        <f>1000/L664</f>
        <v>8.7719298245614041</v>
      </c>
      <c r="N664" s="8">
        <f>8.33*M664</f>
        <v>73.070175438596493</v>
      </c>
      <c r="O664" s="8">
        <f>1.613*N664</f>
        <v>117.86219298245614</v>
      </c>
      <c r="P664" t="s">
        <v>41</v>
      </c>
      <c r="T664" s="8"/>
      <c r="AG664" s="1">
        <v>2.25</v>
      </c>
      <c r="AH664" s="9">
        <v>2.25</v>
      </c>
      <c r="AI664" s="8">
        <f>1/AH664</f>
        <v>0.44444444444444442</v>
      </c>
      <c r="AJ664" s="8">
        <f>8.33*AI664</f>
        <v>3.7022222222222219</v>
      </c>
    </row>
    <row r="665" spans="1:39" x14ac:dyDescent="0.2">
      <c r="A665">
        <v>-141</v>
      </c>
      <c r="B665" s="10" t="s">
        <v>1424</v>
      </c>
      <c r="C665" s="11" t="s">
        <v>39</v>
      </c>
      <c r="D665" s="15" t="s">
        <v>1425</v>
      </c>
      <c r="E665" s="13">
        <v>24</v>
      </c>
      <c r="F665" s="13">
        <v>4</v>
      </c>
      <c r="G665" s="13">
        <f t="shared" si="32"/>
        <v>90</v>
      </c>
      <c r="H665" s="13">
        <v>142</v>
      </c>
      <c r="I665" s="14">
        <f t="shared" si="33"/>
        <v>-141.68767123287671</v>
      </c>
      <c r="J665" s="15" t="s">
        <v>1426</v>
      </c>
      <c r="K665" s="10">
        <v>150</v>
      </c>
      <c r="L665" s="16">
        <v>150</v>
      </c>
      <c r="M665" s="16">
        <f>1000/L665</f>
        <v>6.666666666666667</v>
      </c>
      <c r="N665" s="16">
        <f>8.33*M665</f>
        <v>55.533333333333339</v>
      </c>
      <c r="O665" s="16">
        <f>1.613*N665</f>
        <v>89.575266666666678</v>
      </c>
      <c r="T665" s="8"/>
    </row>
    <row r="666" spans="1:39" x14ac:dyDescent="0.2">
      <c r="A666">
        <v>-141</v>
      </c>
      <c r="B666" s="10" t="s">
        <v>1427</v>
      </c>
      <c r="C666" s="11" t="s">
        <v>42</v>
      </c>
      <c r="D666" s="15" t="s">
        <v>1428</v>
      </c>
      <c r="E666" s="13">
        <v>4</v>
      </c>
      <c r="F666" s="13">
        <v>5</v>
      </c>
      <c r="G666" s="13">
        <f t="shared" si="32"/>
        <v>120</v>
      </c>
      <c r="H666" s="13">
        <v>142</v>
      </c>
      <c r="I666" s="14">
        <f t="shared" si="33"/>
        <v>-141.66027397260274</v>
      </c>
      <c r="J666" s="15" t="s">
        <v>1429</v>
      </c>
      <c r="K666" s="10">
        <v>180</v>
      </c>
      <c r="L666" s="16">
        <v>180</v>
      </c>
      <c r="M666" s="16">
        <f>1000/L666</f>
        <v>5.5555555555555554</v>
      </c>
      <c r="N666" s="16">
        <f>8.33*M666</f>
        <v>46.277777777777779</v>
      </c>
      <c r="O666" s="16">
        <f>1.613*N666</f>
        <v>74.646055555555563</v>
      </c>
      <c r="T666" s="8"/>
    </row>
    <row r="667" spans="1:39" x14ac:dyDescent="0.2">
      <c r="A667">
        <v>-141</v>
      </c>
      <c r="B667" s="10" t="s">
        <v>1427</v>
      </c>
      <c r="C667" s="11" t="s">
        <v>45</v>
      </c>
      <c r="D667" s="15" t="s">
        <v>1430</v>
      </c>
      <c r="E667" s="13">
        <v>14</v>
      </c>
      <c r="F667" s="13">
        <v>5</v>
      </c>
      <c r="G667" s="13">
        <f t="shared" si="32"/>
        <v>120</v>
      </c>
      <c r="H667" s="13">
        <v>142</v>
      </c>
      <c r="I667" s="14">
        <f t="shared" si="33"/>
        <v>-141.63287671232877</v>
      </c>
      <c r="J667" s="15" t="s">
        <v>1431</v>
      </c>
      <c r="K667" s="10" t="s">
        <v>41</v>
      </c>
      <c r="T667" s="8"/>
    </row>
    <row r="668" spans="1:39" x14ac:dyDescent="0.2">
      <c r="A668">
        <v>-140</v>
      </c>
      <c r="B668" s="10" t="s">
        <v>60</v>
      </c>
      <c r="D668" s="15" t="s">
        <v>1432</v>
      </c>
      <c r="E668" s="13">
        <v>13</v>
      </c>
      <c r="F668" s="13">
        <v>4</v>
      </c>
      <c r="G668" s="13">
        <f t="shared" si="32"/>
        <v>90</v>
      </c>
      <c r="H668" s="13">
        <v>141</v>
      </c>
      <c r="I668" s="14">
        <f t="shared" si="33"/>
        <v>-140.7178082191781</v>
      </c>
      <c r="J668" s="15" t="s">
        <v>1433</v>
      </c>
      <c r="T668" s="8"/>
      <c r="Y668" s="1" t="s">
        <v>1434</v>
      </c>
      <c r="Z668" s="21">
        <v>52</v>
      </c>
      <c r="AA668" s="22">
        <f>1000/Z668</f>
        <v>19.23076923076923</v>
      </c>
      <c r="AB668" s="22">
        <f>8.33*AA668</f>
        <v>160.19230769230768</v>
      </c>
      <c r="AC668" s="1">
        <v>24</v>
      </c>
      <c r="AD668" s="9">
        <v>24</v>
      </c>
      <c r="AE668" s="8">
        <f>1000/AD668</f>
        <v>41.666666666666664</v>
      </c>
      <c r="AF668" s="8">
        <f>8.33*AE668</f>
        <v>347.08333333333331</v>
      </c>
      <c r="AG668" s="1">
        <v>2.5</v>
      </c>
      <c r="AH668" s="9">
        <v>2.5</v>
      </c>
      <c r="AI668" s="8">
        <f>1/AH668</f>
        <v>0.4</v>
      </c>
      <c r="AJ668" s="8">
        <f>8.33*AI668</f>
        <v>3.3320000000000003</v>
      </c>
    </row>
    <row r="669" spans="1:39" x14ac:dyDescent="0.2">
      <c r="A669">
        <v>-140</v>
      </c>
      <c r="B669" s="10" t="s">
        <v>60</v>
      </c>
      <c r="C669" s="11" t="s">
        <v>39</v>
      </c>
      <c r="D669" s="15" t="s">
        <v>1432</v>
      </c>
      <c r="E669" s="13">
        <v>13</v>
      </c>
      <c r="F669" s="13">
        <v>4</v>
      </c>
      <c r="G669" s="13">
        <f t="shared" si="32"/>
        <v>90</v>
      </c>
      <c r="H669" s="13">
        <v>141</v>
      </c>
      <c r="I669" s="14">
        <f t="shared" si="33"/>
        <v>-140.7178082191781</v>
      </c>
      <c r="J669" s="15" t="s">
        <v>1435</v>
      </c>
      <c r="K669" s="10">
        <v>150</v>
      </c>
      <c r="L669" s="16">
        <v>150</v>
      </c>
      <c r="M669" s="16">
        <f>1000/L669</f>
        <v>6.666666666666667</v>
      </c>
      <c r="N669" s="16">
        <f>8.33*M669</f>
        <v>55.533333333333339</v>
      </c>
      <c r="O669" s="16">
        <f>1.613*N669</f>
        <v>89.575266666666678</v>
      </c>
      <c r="P669" t="s">
        <v>1436</v>
      </c>
      <c r="Q669" s="20">
        <v>468</v>
      </c>
      <c r="R669" s="19">
        <f>1000/Q669</f>
        <v>2.1367521367521367</v>
      </c>
      <c r="S669" s="19">
        <f>8.33*R669</f>
        <v>17.799145299145298</v>
      </c>
      <c r="T669" s="19">
        <f>S669*1.33</f>
        <v>23.672863247863248</v>
      </c>
      <c r="Z669" s="20"/>
      <c r="AE669" s="8"/>
      <c r="AF669" s="8"/>
      <c r="AK669" t="s">
        <v>1437</v>
      </c>
    </row>
    <row r="670" spans="1:39" x14ac:dyDescent="0.2">
      <c r="A670">
        <v>-140</v>
      </c>
      <c r="B670" s="10" t="s">
        <v>60</v>
      </c>
      <c r="C670" s="11" t="s">
        <v>42</v>
      </c>
      <c r="D670" s="15" t="s">
        <v>1438</v>
      </c>
      <c r="E670" s="13">
        <v>23</v>
      </c>
      <c r="F670" s="13">
        <v>4</v>
      </c>
      <c r="G670" s="13">
        <f t="shared" si="32"/>
        <v>90</v>
      </c>
      <c r="H670" s="13">
        <v>141</v>
      </c>
      <c r="I670" s="14">
        <f t="shared" si="33"/>
        <v>-140.6904109589041</v>
      </c>
      <c r="J670" s="15" t="s">
        <v>1439</v>
      </c>
      <c r="K670" s="10">
        <v>156</v>
      </c>
      <c r="L670" s="16">
        <v>156</v>
      </c>
      <c r="M670" s="16">
        <f>1000/L670</f>
        <v>6.4102564102564106</v>
      </c>
      <c r="N670" s="16">
        <f>8.33*M670</f>
        <v>53.397435897435898</v>
      </c>
      <c r="O670" s="16">
        <f>1.613*N670</f>
        <v>86.130064102564106</v>
      </c>
      <c r="T670" s="8"/>
      <c r="AE670" s="8"/>
      <c r="AF670" s="8"/>
    </row>
    <row r="671" spans="1:39" x14ac:dyDescent="0.2">
      <c r="A671">
        <v>-140</v>
      </c>
      <c r="B671" s="10" t="s">
        <v>60</v>
      </c>
      <c r="C671" s="11" t="s">
        <v>45</v>
      </c>
      <c r="D671" s="15" t="s">
        <v>1440</v>
      </c>
      <c r="E671" s="13">
        <v>3</v>
      </c>
      <c r="F671" s="13">
        <v>5</v>
      </c>
      <c r="G671" s="13">
        <f t="shared" si="32"/>
        <v>120</v>
      </c>
      <c r="H671" s="13">
        <v>141</v>
      </c>
      <c r="I671" s="14">
        <f t="shared" si="33"/>
        <v>-140.66301369863012</v>
      </c>
      <c r="J671" s="15" t="s">
        <v>1433</v>
      </c>
      <c r="K671" s="10">
        <v>132</v>
      </c>
      <c r="L671" s="16">
        <v>132</v>
      </c>
      <c r="M671" s="16">
        <f>1000/L671</f>
        <v>7.5757575757575761</v>
      </c>
      <c r="N671" s="16">
        <f>8.33*M671</f>
        <v>63.106060606060609</v>
      </c>
      <c r="O671" s="16">
        <f>1.613*N671</f>
        <v>101.79007575757576</v>
      </c>
      <c r="T671" s="8"/>
      <c r="AE671" s="8"/>
      <c r="AF671" s="8"/>
    </row>
    <row r="672" spans="1:39" x14ac:dyDescent="0.2">
      <c r="A672">
        <v>-140</v>
      </c>
      <c r="B672" s="10" t="s">
        <v>130</v>
      </c>
      <c r="D672" s="15" t="s">
        <v>1441</v>
      </c>
      <c r="E672" s="13">
        <v>10</v>
      </c>
      <c r="F672" s="13">
        <v>7</v>
      </c>
      <c r="G672" s="13">
        <f t="shared" si="32"/>
        <v>181</v>
      </c>
      <c r="H672" s="13">
        <v>141</v>
      </c>
      <c r="I672" s="14">
        <f t="shared" si="33"/>
        <v>-140.47671232876712</v>
      </c>
      <c r="J672" s="15" t="s">
        <v>1442</v>
      </c>
      <c r="T672" s="8"/>
      <c r="AC672" s="1">
        <v>25</v>
      </c>
      <c r="AD672" s="9">
        <v>25</v>
      </c>
      <c r="AE672" s="8">
        <f>1000/AD672</f>
        <v>40</v>
      </c>
      <c r="AF672" s="8">
        <f>8.33*AE672</f>
        <v>333.2</v>
      </c>
      <c r="AG672" s="1">
        <v>2.5</v>
      </c>
      <c r="AH672" s="9">
        <v>2.5</v>
      </c>
      <c r="AI672" s="8">
        <f>1/AH672</f>
        <v>0.4</v>
      </c>
      <c r="AJ672" s="8">
        <f>8.33*AI672</f>
        <v>3.3320000000000003</v>
      </c>
    </row>
    <row r="673" spans="1:38" x14ac:dyDescent="0.2">
      <c r="A673">
        <v>-140</v>
      </c>
      <c r="B673" s="10" t="s">
        <v>130</v>
      </c>
      <c r="C673" s="11" t="s">
        <v>39</v>
      </c>
      <c r="D673" s="15" t="s">
        <v>1441</v>
      </c>
      <c r="E673" s="13">
        <v>10</v>
      </c>
      <c r="F673" s="13">
        <v>7</v>
      </c>
      <c r="G673" s="13">
        <f t="shared" si="32"/>
        <v>181</v>
      </c>
      <c r="H673" s="13">
        <v>141</v>
      </c>
      <c r="I673" s="14">
        <f t="shared" si="33"/>
        <v>-140.47671232876712</v>
      </c>
      <c r="J673" s="15" t="s">
        <v>1443</v>
      </c>
      <c r="K673" s="10">
        <v>168</v>
      </c>
      <c r="L673" s="16">
        <v>168</v>
      </c>
      <c r="M673" s="16">
        <f>1000/L673</f>
        <v>5.9523809523809526</v>
      </c>
      <c r="N673" s="16">
        <f>8.33*M673</f>
        <v>49.583333333333336</v>
      </c>
      <c r="O673" s="16">
        <f>1.613*N673</f>
        <v>79.977916666666673</v>
      </c>
      <c r="T673" s="8"/>
      <c r="Y673" t="s">
        <v>1444</v>
      </c>
      <c r="Z673" s="20">
        <v>51</v>
      </c>
      <c r="AA673" s="19">
        <f>1000/Z673</f>
        <v>19.607843137254903</v>
      </c>
      <c r="AB673" s="19">
        <f>8.33*AA673</f>
        <v>163.33333333333334</v>
      </c>
    </row>
    <row r="674" spans="1:38" x14ac:dyDescent="0.2">
      <c r="A674">
        <v>-140</v>
      </c>
      <c r="B674" s="10" t="s">
        <v>130</v>
      </c>
      <c r="C674" s="11" t="s">
        <v>42</v>
      </c>
      <c r="D674" s="15" t="s">
        <v>1445</v>
      </c>
      <c r="E674" s="13">
        <v>20</v>
      </c>
      <c r="F674" s="13">
        <v>7</v>
      </c>
      <c r="G674" s="13">
        <f t="shared" si="32"/>
        <v>181</v>
      </c>
      <c r="H674" s="13">
        <v>141</v>
      </c>
      <c r="I674" s="14">
        <f t="shared" si="33"/>
        <v>-140.44931506849315</v>
      </c>
      <c r="J674" s="15" t="s">
        <v>1446</v>
      </c>
      <c r="K674" s="10" t="s">
        <v>41</v>
      </c>
      <c r="T674" s="8"/>
    </row>
    <row r="675" spans="1:38" x14ac:dyDescent="0.2">
      <c r="A675">
        <v>-140</v>
      </c>
      <c r="B675" s="10" t="s">
        <v>130</v>
      </c>
      <c r="C675" s="11" t="s">
        <v>45</v>
      </c>
      <c r="D675" s="15" t="s">
        <v>1447</v>
      </c>
      <c r="E675" s="13">
        <v>30</v>
      </c>
      <c r="F675" s="13">
        <v>7</v>
      </c>
      <c r="G675" s="13">
        <f t="shared" si="32"/>
        <v>181</v>
      </c>
      <c r="H675" s="13">
        <v>141</v>
      </c>
      <c r="I675" s="14">
        <f t="shared" si="33"/>
        <v>-140.42191780821918</v>
      </c>
      <c r="J675" s="15" t="s">
        <v>1442</v>
      </c>
      <c r="T675" s="8"/>
    </row>
    <row r="676" spans="1:38" x14ac:dyDescent="0.2">
      <c r="A676">
        <v>-140</v>
      </c>
      <c r="B676" s="10" t="s">
        <v>91</v>
      </c>
      <c r="D676" s="15" t="s">
        <v>1448</v>
      </c>
      <c r="E676" s="13">
        <v>6</v>
      </c>
      <c r="F676" s="13">
        <v>10</v>
      </c>
      <c r="G676" s="13">
        <f t="shared" si="32"/>
        <v>273</v>
      </c>
      <c r="H676" s="13">
        <v>141</v>
      </c>
      <c r="I676" s="14">
        <f t="shared" si="33"/>
        <v>-140.23561643835617</v>
      </c>
      <c r="J676" s="15" t="s">
        <v>1449</v>
      </c>
      <c r="T676" s="8"/>
      <c r="U676" s="1" t="s">
        <v>1450</v>
      </c>
      <c r="V676" s="21">
        <v>270</v>
      </c>
      <c r="W676" s="22">
        <f>1000/V676</f>
        <v>3.7037037037037037</v>
      </c>
      <c r="X676" s="22">
        <f>8.33*W676</f>
        <v>30.851851851851851</v>
      </c>
      <c r="Y676" s="1" t="s">
        <v>375</v>
      </c>
      <c r="Z676" s="21">
        <v>39</v>
      </c>
      <c r="AA676" s="22">
        <f>1000/Z676</f>
        <v>25.641025641025642</v>
      </c>
      <c r="AB676" s="22">
        <f>8.33*AA676</f>
        <v>213.58974358974359</v>
      </c>
      <c r="AG676" s="1" t="s">
        <v>97</v>
      </c>
    </row>
    <row r="677" spans="1:38" x14ac:dyDescent="0.2">
      <c r="A677">
        <v>-140</v>
      </c>
      <c r="B677" s="10" t="s">
        <v>120</v>
      </c>
      <c r="C677" s="11" t="s">
        <v>39</v>
      </c>
      <c r="D677" s="15" t="s">
        <v>1448</v>
      </c>
      <c r="E677" s="13">
        <v>6</v>
      </c>
      <c r="F677" s="13">
        <v>10</v>
      </c>
      <c r="G677" s="13">
        <f t="shared" si="32"/>
        <v>273</v>
      </c>
      <c r="H677" s="13">
        <v>141</v>
      </c>
      <c r="I677" s="14">
        <f t="shared" si="33"/>
        <v>-140.23561643835617</v>
      </c>
      <c r="J677" s="15" t="s">
        <v>1451</v>
      </c>
      <c r="K677" s="10">
        <v>102</v>
      </c>
      <c r="L677" s="16">
        <v>102</v>
      </c>
      <c r="M677" s="16">
        <f>1000/L677</f>
        <v>9.8039215686274517</v>
      </c>
      <c r="N677" s="16">
        <f>8.33*M677</f>
        <v>81.666666666666671</v>
      </c>
      <c r="O677" s="16">
        <f>1.613*N677</f>
        <v>131.72833333333335</v>
      </c>
      <c r="P677">
        <v>396</v>
      </c>
      <c r="Q677" s="17">
        <v>396</v>
      </c>
      <c r="R677" s="16">
        <f>1000/Q677</f>
        <v>2.5252525252525251</v>
      </c>
      <c r="S677" s="16">
        <f>8.33*R677</f>
        <v>21.035353535353533</v>
      </c>
      <c r="T677" s="16">
        <f>S677*1.33</f>
        <v>27.977020202020199</v>
      </c>
      <c r="Z677" s="9"/>
      <c r="AC677" t="s">
        <v>41</v>
      </c>
      <c r="AH677" s="9"/>
    </row>
    <row r="678" spans="1:38" x14ac:dyDescent="0.2">
      <c r="A678">
        <v>-140</v>
      </c>
      <c r="B678" s="10" t="s">
        <v>120</v>
      </c>
      <c r="C678" s="11" t="s">
        <v>42</v>
      </c>
      <c r="D678" s="15" t="s">
        <v>1452</v>
      </c>
      <c r="E678" s="13">
        <v>16</v>
      </c>
      <c r="F678" s="13">
        <v>10</v>
      </c>
      <c r="G678" s="13">
        <f t="shared" si="32"/>
        <v>273</v>
      </c>
      <c r="H678" s="13">
        <v>141</v>
      </c>
      <c r="I678" s="14">
        <f t="shared" si="33"/>
        <v>-140.2082191780822</v>
      </c>
      <c r="J678" s="15" t="s">
        <v>1453</v>
      </c>
      <c r="K678" s="10" t="s">
        <v>234</v>
      </c>
      <c r="L678" s="19">
        <v>108</v>
      </c>
      <c r="M678" s="19">
        <f>1000/L678</f>
        <v>9.2592592592592595</v>
      </c>
      <c r="N678" s="19">
        <f>8.33*M678</f>
        <v>77.129629629629633</v>
      </c>
      <c r="O678" s="19">
        <f>1.613*N678</f>
        <v>124.41009259259259</v>
      </c>
      <c r="P678" t="s">
        <v>1454</v>
      </c>
      <c r="Q678" s="20">
        <v>450</v>
      </c>
      <c r="R678" s="19">
        <f>1000/Q678</f>
        <v>2.2222222222222223</v>
      </c>
      <c r="S678" s="19">
        <f>8.33*R678</f>
        <v>18.511111111111113</v>
      </c>
      <c r="T678" s="19">
        <f>S678*1.33</f>
        <v>24.619777777777781</v>
      </c>
    </row>
    <row r="679" spans="1:38" x14ac:dyDescent="0.2">
      <c r="A679">
        <v>-140</v>
      </c>
      <c r="B679" s="10" t="s">
        <v>120</v>
      </c>
      <c r="C679" s="11" t="s">
        <v>45</v>
      </c>
      <c r="D679" s="15" t="s">
        <v>1455</v>
      </c>
      <c r="E679" s="13">
        <v>26</v>
      </c>
      <c r="F679" s="13">
        <v>10</v>
      </c>
      <c r="G679" s="13">
        <f t="shared" si="32"/>
        <v>273</v>
      </c>
      <c r="H679" s="13">
        <v>141</v>
      </c>
      <c r="I679" s="14">
        <f t="shared" si="33"/>
        <v>-140.18082191780823</v>
      </c>
      <c r="J679" s="15" t="s">
        <v>1449</v>
      </c>
      <c r="P679">
        <v>432</v>
      </c>
      <c r="Q679" s="17">
        <v>432</v>
      </c>
      <c r="R679" s="16">
        <f>1000/Q679</f>
        <v>2.3148148148148149</v>
      </c>
      <c r="S679" s="16">
        <f>8.33*R679</f>
        <v>19.282407407407408</v>
      </c>
      <c r="T679" s="16">
        <f>S679*1.33</f>
        <v>25.645601851851854</v>
      </c>
    </row>
    <row r="680" spans="1:38" x14ac:dyDescent="0.2">
      <c r="A680">
        <v>-140</v>
      </c>
      <c r="B680" s="10" t="s">
        <v>91</v>
      </c>
      <c r="C680" s="11" t="s">
        <v>1456</v>
      </c>
      <c r="D680" s="25" t="s">
        <v>1457</v>
      </c>
      <c r="E680" s="13">
        <v>1</v>
      </c>
      <c r="F680" s="13">
        <v>11</v>
      </c>
      <c r="G680" s="13">
        <f t="shared" si="32"/>
        <v>304</v>
      </c>
      <c r="H680" s="13">
        <v>141</v>
      </c>
      <c r="I680" s="14">
        <f t="shared" si="33"/>
        <v>-140.16438356164383</v>
      </c>
      <c r="J680" s="25" t="s">
        <v>1449</v>
      </c>
      <c r="P680">
        <v>504</v>
      </c>
      <c r="Q680" s="17">
        <v>504</v>
      </c>
      <c r="R680" s="16">
        <f>1000/Q680</f>
        <v>1.9841269841269842</v>
      </c>
      <c r="S680" s="16">
        <f>8.33*R680</f>
        <v>16.527777777777779</v>
      </c>
      <c r="T680" s="16">
        <f>S680*1.33</f>
        <v>21.981944444444448</v>
      </c>
      <c r="AK680" t="s">
        <v>319</v>
      </c>
    </row>
    <row r="681" spans="1:38" x14ac:dyDescent="0.2">
      <c r="A681">
        <v>-140</v>
      </c>
      <c r="B681" s="10" t="s">
        <v>36</v>
      </c>
      <c r="D681" s="15" t="s">
        <v>1458</v>
      </c>
      <c r="E681" s="13">
        <v>4</v>
      </c>
      <c r="F681" s="13">
        <v>12</v>
      </c>
      <c r="G681" s="13">
        <f t="shared" si="32"/>
        <v>334</v>
      </c>
      <c r="H681" s="13">
        <v>141</v>
      </c>
      <c r="I681" s="14">
        <f t="shared" si="33"/>
        <v>-140.07397260273973</v>
      </c>
      <c r="J681" s="15" t="s">
        <v>1459</v>
      </c>
      <c r="P681">
        <v>432</v>
      </c>
      <c r="Q681" s="17">
        <v>432</v>
      </c>
      <c r="R681" s="16">
        <f>1000/Q681</f>
        <v>2.3148148148148149</v>
      </c>
      <c r="S681" s="16">
        <f>8.33*R681</f>
        <v>19.282407407407408</v>
      </c>
      <c r="T681" s="16">
        <f>S681*1.33</f>
        <v>25.645601851851854</v>
      </c>
      <c r="U681" s="1" t="s">
        <v>1460</v>
      </c>
      <c r="V681" s="21">
        <v>516</v>
      </c>
      <c r="W681" s="22">
        <f>1000/V681</f>
        <v>1.9379844961240309</v>
      </c>
      <c r="X681" s="22">
        <f>8.33*W681</f>
        <v>16.143410852713178</v>
      </c>
      <c r="Y681" s="30">
        <v>40</v>
      </c>
      <c r="Z681" s="21">
        <v>40</v>
      </c>
      <c r="AA681" s="22">
        <f>1000/Z681</f>
        <v>25</v>
      </c>
      <c r="AB681" s="22">
        <f>8.33*AA681</f>
        <v>208.25</v>
      </c>
      <c r="AC681" s="1">
        <v>26</v>
      </c>
      <c r="AD681" s="9">
        <v>26</v>
      </c>
      <c r="AE681" s="8">
        <f>1000/AD681</f>
        <v>38.46153846153846</v>
      </c>
      <c r="AF681" s="8">
        <f>8.33*AE681</f>
        <v>320.38461538461536</v>
      </c>
      <c r="AG681" s="1">
        <v>2.5</v>
      </c>
      <c r="AH681" s="9">
        <v>2.5</v>
      </c>
      <c r="AI681" s="8">
        <f>1/AH681</f>
        <v>0.4</v>
      </c>
      <c r="AJ681" s="8">
        <f>8.33*AI681</f>
        <v>3.3320000000000003</v>
      </c>
    </row>
    <row r="682" spans="1:38" x14ac:dyDescent="0.2">
      <c r="A682">
        <v>-140</v>
      </c>
      <c r="B682" s="10" t="s">
        <v>389</v>
      </c>
      <c r="C682" s="11" t="s">
        <v>39</v>
      </c>
      <c r="D682" s="15" t="s">
        <v>1458</v>
      </c>
      <c r="E682" s="13">
        <v>4</v>
      </c>
      <c r="F682" s="13">
        <v>12</v>
      </c>
      <c r="G682" s="13">
        <f t="shared" si="32"/>
        <v>334</v>
      </c>
      <c r="H682" s="13">
        <v>141</v>
      </c>
      <c r="I682" s="14">
        <f t="shared" si="33"/>
        <v>-140.07397260273973</v>
      </c>
      <c r="J682" s="7" t="s">
        <v>1461</v>
      </c>
      <c r="K682" s="10">
        <v>117</v>
      </c>
      <c r="L682" s="16">
        <v>117</v>
      </c>
      <c r="M682" s="16">
        <f>1000/L682</f>
        <v>8.5470085470085468</v>
      </c>
      <c r="N682" s="16">
        <f>8.33*M682</f>
        <v>71.196581196581192</v>
      </c>
      <c r="O682" s="16">
        <f>1.613*N682</f>
        <v>114.84008547008547</v>
      </c>
      <c r="W682" s="22"/>
      <c r="X682" s="22"/>
      <c r="Y682" s="30"/>
      <c r="Z682" s="21"/>
      <c r="AA682" s="22"/>
      <c r="AB682" s="22"/>
    </row>
    <row r="683" spans="1:38" x14ac:dyDescent="0.2">
      <c r="A683">
        <v>-140</v>
      </c>
      <c r="B683" s="10" t="s">
        <v>389</v>
      </c>
      <c r="C683" s="11" t="s">
        <v>42</v>
      </c>
      <c r="D683" s="15" t="s">
        <v>1462</v>
      </c>
      <c r="E683" s="13">
        <v>14</v>
      </c>
      <c r="F683" s="13">
        <v>12</v>
      </c>
      <c r="G683" s="13">
        <f t="shared" si="32"/>
        <v>334</v>
      </c>
      <c r="H683" s="13">
        <v>141</v>
      </c>
      <c r="I683" s="14">
        <f t="shared" si="33"/>
        <v>-140.04657534246576</v>
      </c>
      <c r="J683" s="15" t="s">
        <v>1463</v>
      </c>
      <c r="W683" s="22"/>
      <c r="X683" s="22"/>
      <c r="Y683" s="30"/>
      <c r="Z683" s="21"/>
      <c r="AA683" s="22"/>
      <c r="AB683" s="22"/>
    </row>
    <row r="684" spans="1:38" x14ac:dyDescent="0.2">
      <c r="A684">
        <v>-140</v>
      </c>
      <c r="B684" s="10" t="s">
        <v>389</v>
      </c>
      <c r="C684" s="11" t="s">
        <v>45</v>
      </c>
      <c r="D684" s="7" t="s">
        <v>1464</v>
      </c>
      <c r="E684" s="13">
        <v>19</v>
      </c>
      <c r="F684" s="13">
        <v>12</v>
      </c>
      <c r="G684" s="13">
        <f t="shared" si="32"/>
        <v>334</v>
      </c>
      <c r="H684" s="13">
        <v>141</v>
      </c>
      <c r="I684" s="14">
        <f t="shared" si="33"/>
        <v>-140.03287671232877</v>
      </c>
      <c r="J684" s="15" t="s">
        <v>1459</v>
      </c>
      <c r="K684" s="10">
        <v>120</v>
      </c>
      <c r="L684" s="16">
        <v>120</v>
      </c>
      <c r="M684" s="16">
        <f>1000/L684</f>
        <v>8.3333333333333339</v>
      </c>
      <c r="N684" s="16">
        <f>8.33*M684</f>
        <v>69.416666666666671</v>
      </c>
      <c r="O684" s="16">
        <f>1.613*N684</f>
        <v>111.96908333333334</v>
      </c>
      <c r="W684" s="22"/>
      <c r="X684" s="22"/>
      <c r="Y684" s="30"/>
      <c r="Z684" s="21"/>
      <c r="AA684" s="22"/>
      <c r="AB684" s="22"/>
    </row>
    <row r="685" spans="1:38" x14ac:dyDescent="0.2">
      <c r="A685">
        <v>-140</v>
      </c>
      <c r="B685" s="10" t="s">
        <v>75</v>
      </c>
      <c r="D685" s="15" t="s">
        <v>1465</v>
      </c>
      <c r="E685" s="13">
        <v>3</v>
      </c>
      <c r="F685" s="13">
        <v>1</v>
      </c>
      <c r="G685" s="13">
        <f t="shared" si="32"/>
        <v>0</v>
      </c>
      <c r="H685" s="13">
        <v>140</v>
      </c>
      <c r="I685" s="14">
        <f t="shared" si="33"/>
        <v>-139.99178082191781</v>
      </c>
      <c r="J685" s="15" t="s">
        <v>1466</v>
      </c>
      <c r="U685" s="1">
        <v>516</v>
      </c>
      <c r="V685" s="9">
        <v>516</v>
      </c>
      <c r="W685" s="22">
        <f>1000/V685</f>
        <v>1.9379844961240309</v>
      </c>
      <c r="X685" s="22">
        <f>8.33*W685</f>
        <v>16.143410852713178</v>
      </c>
      <c r="Y685" s="30">
        <v>40</v>
      </c>
      <c r="Z685" s="21">
        <v>40</v>
      </c>
      <c r="AA685" s="22">
        <f>1000/Z685</f>
        <v>25</v>
      </c>
      <c r="AB685" s="22">
        <f>8.33*AA685</f>
        <v>208.25</v>
      </c>
      <c r="AG685" s="1">
        <v>2.5</v>
      </c>
      <c r="AH685" s="9">
        <v>2.5</v>
      </c>
      <c r="AI685" s="8">
        <f>1/AH685</f>
        <v>0.4</v>
      </c>
      <c r="AJ685" s="8">
        <f>8.33*AI685</f>
        <v>3.3320000000000003</v>
      </c>
    </row>
    <row r="686" spans="1:38" x14ac:dyDescent="0.2">
      <c r="A686">
        <v>-140</v>
      </c>
      <c r="B686" s="10" t="s">
        <v>145</v>
      </c>
      <c r="C686" s="11" t="s">
        <v>39</v>
      </c>
      <c r="D686" s="15" t="s">
        <v>1465</v>
      </c>
      <c r="E686" s="13">
        <v>3</v>
      </c>
      <c r="F686" s="13">
        <v>1</v>
      </c>
      <c r="G686" s="13">
        <f t="shared" si="32"/>
        <v>0</v>
      </c>
      <c r="H686" s="13">
        <v>140</v>
      </c>
      <c r="I686" s="14">
        <f t="shared" si="33"/>
        <v>-139.99178082191781</v>
      </c>
      <c r="J686" s="15" t="s">
        <v>1467</v>
      </c>
      <c r="K686" s="10">
        <v>120</v>
      </c>
      <c r="L686" s="16">
        <v>120</v>
      </c>
      <c r="M686" s="16">
        <f>1000/L686</f>
        <v>8.3333333333333339</v>
      </c>
      <c r="N686" s="16">
        <f>8.33*M686</f>
        <v>69.416666666666671</v>
      </c>
      <c r="O686" s="16">
        <f>1.613*N686</f>
        <v>111.96908333333334</v>
      </c>
      <c r="P686">
        <v>432</v>
      </c>
      <c r="Q686" s="17">
        <v>432</v>
      </c>
      <c r="R686" s="16">
        <f>1000/Q686</f>
        <v>2.3148148148148149</v>
      </c>
      <c r="S686" s="16">
        <f>8.33*R686</f>
        <v>19.282407407407408</v>
      </c>
      <c r="T686" s="16">
        <f>S686*1.33</f>
        <v>25.645601851851854</v>
      </c>
    </row>
    <row r="687" spans="1:38" x14ac:dyDescent="0.2">
      <c r="A687">
        <v>-140</v>
      </c>
      <c r="B687" s="10" t="s">
        <v>145</v>
      </c>
      <c r="C687" s="11" t="s">
        <v>42</v>
      </c>
      <c r="D687" s="15" t="s">
        <v>1468</v>
      </c>
      <c r="E687" s="13">
        <v>13</v>
      </c>
      <c r="F687" s="13">
        <v>1</v>
      </c>
      <c r="G687" s="13">
        <f t="shared" si="32"/>
        <v>0</v>
      </c>
      <c r="H687" s="13">
        <v>140</v>
      </c>
      <c r="I687" s="14">
        <f t="shared" si="33"/>
        <v>-139.96438356164384</v>
      </c>
      <c r="J687" s="15" t="s">
        <v>1469</v>
      </c>
      <c r="K687" s="10">
        <v>121.5</v>
      </c>
      <c r="L687" s="16">
        <v>121.5</v>
      </c>
      <c r="M687" s="16">
        <f>1000/L687</f>
        <v>8.2304526748971192</v>
      </c>
      <c r="N687" s="16">
        <f>8.33*M687</f>
        <v>68.559670781893004</v>
      </c>
      <c r="O687" s="16">
        <f>1.613*N687</f>
        <v>110.58674897119342</v>
      </c>
      <c r="P687">
        <v>468</v>
      </c>
      <c r="Q687" s="17">
        <v>468</v>
      </c>
      <c r="R687" s="16">
        <f>1000/Q687</f>
        <v>2.1367521367521367</v>
      </c>
      <c r="S687" s="16">
        <f>8.33*R687</f>
        <v>17.799145299145298</v>
      </c>
      <c r="T687" s="16">
        <f>S687*1.33</f>
        <v>23.672863247863248</v>
      </c>
      <c r="AC687">
        <v>26</v>
      </c>
      <c r="AD687" s="17">
        <v>26</v>
      </c>
      <c r="AE687" s="16">
        <f>1000/AD687</f>
        <v>38.46153846153846</v>
      </c>
      <c r="AF687" s="16">
        <f>8.33*AE687</f>
        <v>320.38461538461536</v>
      </c>
      <c r="AK687" t="s">
        <v>1470</v>
      </c>
    </row>
    <row r="688" spans="1:38" x14ac:dyDescent="0.2">
      <c r="A688">
        <v>-140</v>
      </c>
      <c r="B688" s="10" t="s">
        <v>145</v>
      </c>
      <c r="C688" s="11" t="s">
        <v>45</v>
      </c>
      <c r="D688" s="15" t="s">
        <v>1471</v>
      </c>
      <c r="E688" s="13">
        <v>23</v>
      </c>
      <c r="F688" s="13">
        <v>1</v>
      </c>
      <c r="G688" s="13">
        <f t="shared" si="32"/>
        <v>0</v>
      </c>
      <c r="H688" s="13">
        <v>140</v>
      </c>
      <c r="I688" s="14">
        <f t="shared" si="33"/>
        <v>-139.93698630136987</v>
      </c>
      <c r="J688" s="15" t="s">
        <v>1466</v>
      </c>
      <c r="K688" s="10">
        <v>123</v>
      </c>
      <c r="L688" s="16">
        <v>123</v>
      </c>
      <c r="M688" s="16">
        <f>1000/L688</f>
        <v>8.1300813008130088</v>
      </c>
      <c r="N688" s="16">
        <f>8.33*M688</f>
        <v>67.723577235772368</v>
      </c>
      <c r="O688" s="16">
        <f>1.613*N688</f>
        <v>109.23813008130082</v>
      </c>
      <c r="P688">
        <v>450</v>
      </c>
      <c r="Q688" s="17">
        <v>450</v>
      </c>
      <c r="R688" s="16">
        <f>1000/Q688</f>
        <v>2.2222222222222223</v>
      </c>
      <c r="S688" s="16">
        <f>8.33*R688</f>
        <v>18.511111111111113</v>
      </c>
      <c r="T688" s="16">
        <f>S688*1.33</f>
        <v>24.619777777777781</v>
      </c>
      <c r="AC688">
        <v>27</v>
      </c>
      <c r="AD688" s="17">
        <v>27</v>
      </c>
      <c r="AE688" s="16">
        <f>1000/AD688</f>
        <v>37.037037037037038</v>
      </c>
      <c r="AF688" s="16">
        <f>8.33*AE688</f>
        <v>308.51851851851853</v>
      </c>
      <c r="AK688" t="s">
        <v>1472</v>
      </c>
      <c r="AL688" t="s">
        <v>1473</v>
      </c>
    </row>
    <row r="689" spans="1:36" x14ac:dyDescent="0.2">
      <c r="A689">
        <v>-140</v>
      </c>
      <c r="B689" s="10" t="s">
        <v>83</v>
      </c>
      <c r="D689" s="15" t="s">
        <v>1474</v>
      </c>
      <c r="E689" s="13">
        <v>1</v>
      </c>
      <c r="F689" s="13">
        <v>2</v>
      </c>
      <c r="G689" s="13">
        <f t="shared" si="32"/>
        <v>31</v>
      </c>
      <c r="H689" s="13">
        <v>140</v>
      </c>
      <c r="I689" s="14">
        <f t="shared" si="33"/>
        <v>-139.91232876712328</v>
      </c>
      <c r="J689" s="15" t="s">
        <v>1475</v>
      </c>
      <c r="K689" s="2" t="s">
        <v>1332</v>
      </c>
      <c r="L689" s="22">
        <v>114</v>
      </c>
      <c r="M689" s="22">
        <f>1000/L689</f>
        <v>8.7719298245614041</v>
      </c>
      <c r="N689" s="22">
        <f>8.33*M689</f>
        <v>73.070175438596493</v>
      </c>
      <c r="O689" s="22">
        <f>1.613*N689</f>
        <v>117.86219298245614</v>
      </c>
      <c r="T689" s="8"/>
    </row>
    <row r="690" spans="1:36" x14ac:dyDescent="0.2">
      <c r="A690">
        <v>-140</v>
      </c>
      <c r="B690" s="10" t="s">
        <v>83</v>
      </c>
      <c r="C690" s="11" t="s">
        <v>39</v>
      </c>
      <c r="D690" s="15" t="s">
        <v>1474</v>
      </c>
      <c r="E690" s="13">
        <v>1</v>
      </c>
      <c r="F690" s="13">
        <v>2</v>
      </c>
      <c r="G690" s="13">
        <f t="shared" si="32"/>
        <v>31</v>
      </c>
      <c r="H690" s="13">
        <v>140</v>
      </c>
      <c r="I690" s="14">
        <f t="shared" si="33"/>
        <v>-139.91232876712328</v>
      </c>
      <c r="J690" s="15" t="s">
        <v>1476</v>
      </c>
      <c r="T690" s="8"/>
      <c r="AG690" t="s">
        <v>1155</v>
      </c>
    </row>
    <row r="691" spans="1:36" x14ac:dyDescent="0.2">
      <c r="A691">
        <v>-140</v>
      </c>
      <c r="B691" s="10" t="s">
        <v>83</v>
      </c>
      <c r="C691" s="11" t="s">
        <v>42</v>
      </c>
      <c r="D691" s="15" t="s">
        <v>1477</v>
      </c>
      <c r="E691" s="13">
        <v>11</v>
      </c>
      <c r="F691" s="13">
        <v>2</v>
      </c>
      <c r="G691" s="13">
        <f t="shared" si="32"/>
        <v>31</v>
      </c>
      <c r="H691" s="13">
        <v>140</v>
      </c>
      <c r="I691" s="14">
        <f t="shared" si="33"/>
        <v>-139.88493150684931</v>
      </c>
      <c r="J691" s="15" t="s">
        <v>1478</v>
      </c>
      <c r="P691" t="s">
        <v>1479</v>
      </c>
      <c r="T691" s="8"/>
    </row>
    <row r="692" spans="1:36" x14ac:dyDescent="0.2">
      <c r="A692">
        <v>-140</v>
      </c>
      <c r="B692" s="10" t="s">
        <v>83</v>
      </c>
      <c r="C692" s="11" t="s">
        <v>45</v>
      </c>
      <c r="D692" s="15" t="s">
        <v>1480</v>
      </c>
      <c r="E692" s="13">
        <v>21</v>
      </c>
      <c r="F692" s="13">
        <v>2</v>
      </c>
      <c r="G692" s="13">
        <f t="shared" si="32"/>
        <v>31</v>
      </c>
      <c r="H692" s="13">
        <v>140</v>
      </c>
      <c r="I692" s="14">
        <f t="shared" si="33"/>
        <v>-139.85753424657534</v>
      </c>
      <c r="J692" s="15" t="s">
        <v>1475</v>
      </c>
      <c r="P692" t="s">
        <v>926</v>
      </c>
      <c r="T692" s="8"/>
    </row>
    <row r="693" spans="1:36" x14ac:dyDescent="0.2">
      <c r="A693">
        <v>-137</v>
      </c>
      <c r="B693" s="10" t="s">
        <v>1481</v>
      </c>
      <c r="C693" s="11" t="s">
        <v>39</v>
      </c>
      <c r="D693" s="15" t="s">
        <v>1482</v>
      </c>
      <c r="E693" s="13">
        <v>9</v>
      </c>
      <c r="F693" s="13">
        <v>5</v>
      </c>
      <c r="G693" s="13">
        <f t="shared" si="32"/>
        <v>120</v>
      </c>
      <c r="H693" s="13">
        <v>138</v>
      </c>
      <c r="I693" s="14">
        <f t="shared" si="33"/>
        <v>-137.64657534246575</v>
      </c>
      <c r="J693" s="15" t="s">
        <v>1483</v>
      </c>
      <c r="K693" s="10" t="s">
        <v>133</v>
      </c>
      <c r="P693" t="s">
        <v>1484</v>
      </c>
      <c r="Q693" s="20">
        <v>336</v>
      </c>
      <c r="R693" s="19">
        <f>1000/Q693</f>
        <v>2.9761904761904763</v>
      </c>
      <c r="S693" s="19">
        <f>8.33*R693</f>
        <v>24.791666666666668</v>
      </c>
      <c r="T693" s="19">
        <f>S693*1.33</f>
        <v>32.97291666666667</v>
      </c>
    </row>
    <row r="694" spans="1:36" x14ac:dyDescent="0.2">
      <c r="A694">
        <v>-137</v>
      </c>
      <c r="B694" s="10" t="s">
        <v>1481</v>
      </c>
      <c r="C694" s="11" t="s">
        <v>42</v>
      </c>
      <c r="D694" s="15" t="s">
        <v>1485</v>
      </c>
      <c r="E694" s="13">
        <v>19</v>
      </c>
      <c r="F694" s="13">
        <v>5</v>
      </c>
      <c r="G694" s="13">
        <f t="shared" si="32"/>
        <v>120</v>
      </c>
      <c r="H694" s="13">
        <v>138</v>
      </c>
      <c r="I694" s="14">
        <f t="shared" si="33"/>
        <v>-137.61917808219178</v>
      </c>
      <c r="J694" s="15" t="s">
        <v>1486</v>
      </c>
      <c r="T694" s="8"/>
    </row>
    <row r="695" spans="1:36" x14ac:dyDescent="0.2">
      <c r="A695">
        <v>-137</v>
      </c>
      <c r="B695" s="10" t="s">
        <v>47</v>
      </c>
      <c r="C695" s="11" t="s">
        <v>1487</v>
      </c>
      <c r="D695" s="7" t="s">
        <v>1486</v>
      </c>
      <c r="E695" s="13">
        <v>28</v>
      </c>
      <c r="F695" s="13">
        <v>5</v>
      </c>
      <c r="G695" s="13">
        <f t="shared" si="32"/>
        <v>120</v>
      </c>
      <c r="H695" s="13">
        <v>138</v>
      </c>
      <c r="I695" s="14">
        <f t="shared" si="33"/>
        <v>-137.59452054794519</v>
      </c>
      <c r="J695" s="7" t="s">
        <v>1488</v>
      </c>
      <c r="K695" s="10">
        <v>84</v>
      </c>
      <c r="L695" s="16">
        <v>84</v>
      </c>
      <c r="M695" s="16">
        <f>1000/L695</f>
        <v>11.904761904761905</v>
      </c>
      <c r="N695" s="16">
        <f>8.33*M695</f>
        <v>99.166666666666671</v>
      </c>
      <c r="O695" s="16">
        <f>1.613*N695</f>
        <v>159.95583333333335</v>
      </c>
      <c r="P695" t="s">
        <v>133</v>
      </c>
      <c r="Q695" s="17" t="s">
        <v>133</v>
      </c>
      <c r="T695" s="8"/>
    </row>
    <row r="696" spans="1:36" x14ac:dyDescent="0.2">
      <c r="A696">
        <v>-137</v>
      </c>
      <c r="B696" s="10" t="s">
        <v>47</v>
      </c>
      <c r="C696" s="11" t="s">
        <v>45</v>
      </c>
      <c r="D696" s="15" t="s">
        <v>1489</v>
      </c>
      <c r="E696" s="13">
        <v>29</v>
      </c>
      <c r="F696" s="13">
        <v>5</v>
      </c>
      <c r="G696" s="13">
        <f t="shared" si="32"/>
        <v>120</v>
      </c>
      <c r="H696" s="13">
        <v>138</v>
      </c>
      <c r="I696" s="14">
        <f t="shared" si="33"/>
        <v>-137.59178082191781</v>
      </c>
      <c r="J696" s="15" t="s">
        <v>1490</v>
      </c>
      <c r="P696" t="s">
        <v>835</v>
      </c>
      <c r="T696" s="8"/>
    </row>
    <row r="697" spans="1:36" x14ac:dyDescent="0.2">
      <c r="A697">
        <v>-137</v>
      </c>
      <c r="B697" s="10" t="s">
        <v>47</v>
      </c>
      <c r="C697" s="11" t="s">
        <v>1491</v>
      </c>
      <c r="D697" s="7" t="s">
        <v>1492</v>
      </c>
      <c r="E697" s="13">
        <v>3</v>
      </c>
      <c r="F697" s="13">
        <v>6</v>
      </c>
      <c r="G697" s="13">
        <f t="shared" si="32"/>
        <v>151</v>
      </c>
      <c r="H697" s="13">
        <v>138</v>
      </c>
      <c r="I697" s="14">
        <f t="shared" si="33"/>
        <v>-137.57808219178082</v>
      </c>
      <c r="J697" s="7" t="s">
        <v>1493</v>
      </c>
      <c r="K697" s="10" t="s">
        <v>311</v>
      </c>
      <c r="T697" s="8"/>
    </row>
    <row r="698" spans="1:36" x14ac:dyDescent="0.2">
      <c r="A698">
        <v>-137</v>
      </c>
      <c r="B698" s="10" t="s">
        <v>381</v>
      </c>
      <c r="D698" s="15" t="s">
        <v>1494</v>
      </c>
      <c r="E698" s="13">
        <v>8</v>
      </c>
      <c r="F698" s="13">
        <v>6</v>
      </c>
      <c r="G698" s="13">
        <f t="shared" si="32"/>
        <v>151</v>
      </c>
      <c r="H698" s="13">
        <v>138</v>
      </c>
      <c r="I698" s="14">
        <f t="shared" si="33"/>
        <v>-137.56438356164384</v>
      </c>
      <c r="J698" s="26" t="s">
        <v>1495</v>
      </c>
      <c r="T698" s="8"/>
      <c r="AC698" s="1">
        <v>12.5</v>
      </c>
      <c r="AD698" s="9">
        <v>12.5</v>
      </c>
      <c r="AE698" s="8">
        <f>1000/AD698</f>
        <v>80</v>
      </c>
      <c r="AF698" s="8">
        <f>8.33*AE698</f>
        <v>666.4</v>
      </c>
    </row>
    <row r="699" spans="1:36" x14ac:dyDescent="0.2">
      <c r="A699">
        <v>-137</v>
      </c>
      <c r="B699" s="10" t="s">
        <v>381</v>
      </c>
      <c r="C699" s="11" t="s">
        <v>39</v>
      </c>
      <c r="D699" s="15" t="s">
        <v>1494</v>
      </c>
      <c r="E699" s="13">
        <v>8</v>
      </c>
      <c r="F699" s="13">
        <v>6</v>
      </c>
      <c r="G699" s="13">
        <f t="shared" si="32"/>
        <v>151</v>
      </c>
      <c r="H699" s="13">
        <v>138</v>
      </c>
      <c r="I699" s="14">
        <f t="shared" si="33"/>
        <v>-137.56438356164384</v>
      </c>
      <c r="J699" s="15" t="s">
        <v>1496</v>
      </c>
      <c r="P699" t="s">
        <v>41</v>
      </c>
      <c r="T699" s="8"/>
      <c r="AG699">
        <v>3</v>
      </c>
      <c r="AH699" s="17">
        <v>3</v>
      </c>
      <c r="AI699" s="16">
        <v>0.33</v>
      </c>
      <c r="AJ699" s="16">
        <v>2.78</v>
      </c>
    </row>
    <row r="700" spans="1:36" x14ac:dyDescent="0.2">
      <c r="A700">
        <v>-137</v>
      </c>
      <c r="B700" s="10" t="s">
        <v>381</v>
      </c>
      <c r="C700" s="11" t="s">
        <v>42</v>
      </c>
      <c r="D700" s="15" t="s">
        <v>1497</v>
      </c>
      <c r="E700" s="13">
        <v>18</v>
      </c>
      <c r="F700" s="13">
        <v>6</v>
      </c>
      <c r="G700" s="13">
        <f t="shared" si="32"/>
        <v>151</v>
      </c>
      <c r="H700" s="13">
        <v>138</v>
      </c>
      <c r="I700" s="14">
        <f t="shared" si="33"/>
        <v>-137.53698630136986</v>
      </c>
      <c r="J700" s="15" t="s">
        <v>1498</v>
      </c>
      <c r="T700" s="8"/>
      <c r="AH700" s="20">
        <v>3</v>
      </c>
      <c r="AI700" s="19">
        <v>0.33</v>
      </c>
      <c r="AJ700" s="19">
        <v>2.78</v>
      </c>
    </row>
    <row r="701" spans="1:36" x14ac:dyDescent="0.2">
      <c r="A701">
        <v>-137</v>
      </c>
      <c r="B701" s="10" t="s">
        <v>381</v>
      </c>
      <c r="C701" s="11" t="s">
        <v>1499</v>
      </c>
      <c r="D701" s="25" t="s">
        <v>1497</v>
      </c>
      <c r="E701" s="13">
        <v>18</v>
      </c>
      <c r="F701" s="13">
        <v>6</v>
      </c>
      <c r="G701" s="13">
        <f t="shared" si="32"/>
        <v>151</v>
      </c>
      <c r="H701" s="13">
        <v>138</v>
      </c>
      <c r="I701" s="14">
        <f t="shared" si="33"/>
        <v>-137.53698630136986</v>
      </c>
      <c r="J701" s="7" t="s">
        <v>1500</v>
      </c>
      <c r="K701" s="10">
        <v>81</v>
      </c>
      <c r="L701" s="16">
        <v>81</v>
      </c>
      <c r="M701" s="16">
        <f>1000/L701</f>
        <v>12.345679012345679</v>
      </c>
      <c r="N701" s="16">
        <f>8.33*M701</f>
        <v>102.83950617283951</v>
      </c>
      <c r="O701" s="16">
        <f>1.613*N701</f>
        <v>165.88012345679013</v>
      </c>
      <c r="T701" s="8"/>
      <c r="AI701" s="16"/>
      <c r="AJ701" s="16"/>
    </row>
    <row r="702" spans="1:36" x14ac:dyDescent="0.2">
      <c r="A702">
        <v>-137</v>
      </c>
      <c r="B702" s="10" t="s">
        <v>381</v>
      </c>
      <c r="C702" s="11">
        <v>18</v>
      </c>
      <c r="D702" s="7" t="s">
        <v>1501</v>
      </c>
      <c r="E702" s="13">
        <v>25</v>
      </c>
      <c r="F702" s="13">
        <v>6</v>
      </c>
      <c r="G702" s="13">
        <f t="shared" si="32"/>
        <v>151</v>
      </c>
      <c r="H702" s="13">
        <v>138</v>
      </c>
      <c r="I702" s="14">
        <f t="shared" si="33"/>
        <v>-137.51780821917808</v>
      </c>
      <c r="J702" s="7"/>
      <c r="K702" s="10">
        <v>78</v>
      </c>
      <c r="L702" s="16">
        <v>78</v>
      </c>
      <c r="M702" s="16">
        <f>1000/L702</f>
        <v>12.820512820512821</v>
      </c>
      <c r="N702" s="16">
        <f>8.33*M702</f>
        <v>106.7948717948718</v>
      </c>
      <c r="O702" s="16">
        <f>1.613*N702</f>
        <v>172.26012820512821</v>
      </c>
      <c r="T702" s="8"/>
      <c r="AI702" s="16"/>
      <c r="AJ702" s="16"/>
    </row>
    <row r="703" spans="1:36" x14ac:dyDescent="0.2">
      <c r="A703">
        <v>-137</v>
      </c>
      <c r="B703" s="10" t="s">
        <v>381</v>
      </c>
      <c r="C703" s="11" t="s">
        <v>1502</v>
      </c>
      <c r="D703" s="7" t="s">
        <v>1503</v>
      </c>
      <c r="E703" s="13">
        <v>26</v>
      </c>
      <c r="F703" s="13">
        <v>6</v>
      </c>
      <c r="G703" s="13">
        <f t="shared" si="32"/>
        <v>151</v>
      </c>
      <c r="H703" s="13">
        <v>138</v>
      </c>
      <c r="I703" s="14">
        <f t="shared" si="33"/>
        <v>-137.51506849315069</v>
      </c>
      <c r="J703" s="7" t="s">
        <v>1495</v>
      </c>
      <c r="K703" s="10">
        <v>72</v>
      </c>
      <c r="L703" s="16">
        <v>72</v>
      </c>
      <c r="M703" s="16">
        <f>1000/L703</f>
        <v>13.888888888888889</v>
      </c>
      <c r="N703" s="16">
        <f>8.33*M703</f>
        <v>115.69444444444444</v>
      </c>
      <c r="O703" s="16">
        <f>1.613*N703</f>
        <v>186.61513888888888</v>
      </c>
      <c r="T703" s="8"/>
      <c r="AI703" s="16"/>
      <c r="AJ703" s="16"/>
    </row>
    <row r="704" spans="1:36" x14ac:dyDescent="0.2">
      <c r="A704">
        <v>-137</v>
      </c>
      <c r="B704" s="10" t="s">
        <v>381</v>
      </c>
      <c r="C704" s="11" t="s">
        <v>45</v>
      </c>
      <c r="D704" s="15" t="s">
        <v>1504</v>
      </c>
      <c r="E704" s="13">
        <v>28</v>
      </c>
      <c r="F704" s="13">
        <v>6</v>
      </c>
      <c r="G704" s="13">
        <f t="shared" si="32"/>
        <v>151</v>
      </c>
      <c r="H704" s="13">
        <v>138</v>
      </c>
      <c r="I704" s="14">
        <f t="shared" si="33"/>
        <v>-137.50958904109589</v>
      </c>
      <c r="J704" s="15" t="s">
        <v>1495</v>
      </c>
      <c r="T704" s="8"/>
      <c r="AG704">
        <v>2.5</v>
      </c>
      <c r="AH704" s="17">
        <v>2.5</v>
      </c>
      <c r="AI704" s="16">
        <f>1/AH704</f>
        <v>0.4</v>
      </c>
      <c r="AJ704" s="16">
        <f>8.33*AI704</f>
        <v>3.3320000000000003</v>
      </c>
    </row>
    <row r="705" spans="1:36" x14ac:dyDescent="0.2">
      <c r="A705">
        <v>-137</v>
      </c>
      <c r="B705" s="10" t="s">
        <v>130</v>
      </c>
      <c r="D705" s="15" t="s">
        <v>1505</v>
      </c>
      <c r="E705" s="13">
        <v>8</v>
      </c>
      <c r="F705" s="13">
        <v>7</v>
      </c>
      <c r="G705" s="13">
        <f t="shared" si="32"/>
        <v>181</v>
      </c>
      <c r="H705" s="13">
        <v>138</v>
      </c>
      <c r="I705" s="14">
        <f t="shared" si="33"/>
        <v>-137.48219178082192</v>
      </c>
      <c r="J705" s="15" t="s">
        <v>1506</v>
      </c>
      <c r="T705" s="8"/>
      <c r="Y705" s="1">
        <v>18</v>
      </c>
      <c r="Z705" s="9">
        <v>18</v>
      </c>
      <c r="AA705" s="8">
        <f>1000/Z705</f>
        <v>55.555555555555557</v>
      </c>
      <c r="AB705" s="8">
        <f>8.33*AA705</f>
        <v>462.77777777777777</v>
      </c>
    </row>
    <row r="706" spans="1:36" x14ac:dyDescent="0.2">
      <c r="A706">
        <v>-137</v>
      </c>
      <c r="B706" s="10" t="s">
        <v>130</v>
      </c>
      <c r="C706" s="11" t="s">
        <v>39</v>
      </c>
      <c r="D706" s="15" t="s">
        <v>1505</v>
      </c>
      <c r="E706" s="13">
        <v>8</v>
      </c>
      <c r="F706" s="13">
        <v>7</v>
      </c>
      <c r="G706" s="13">
        <f t="shared" ref="G706:G769" si="34">INDEX(A$1502:A$1513,F706)</f>
        <v>181</v>
      </c>
      <c r="H706" s="13">
        <v>138</v>
      </c>
      <c r="I706" s="14">
        <f t="shared" si="33"/>
        <v>-137.48219178082192</v>
      </c>
      <c r="J706" s="15" t="s">
        <v>1507</v>
      </c>
      <c r="T706" s="8"/>
      <c r="AC706">
        <v>12</v>
      </c>
      <c r="AD706" s="17">
        <v>12</v>
      </c>
      <c r="AE706" s="16">
        <f>1000/AD706</f>
        <v>83.333333333333329</v>
      </c>
      <c r="AF706" s="16">
        <f>8.33*AE706</f>
        <v>694.16666666666663</v>
      </c>
    </row>
    <row r="707" spans="1:36" x14ac:dyDescent="0.2">
      <c r="A707">
        <v>-137</v>
      </c>
      <c r="B707" s="10" t="s">
        <v>130</v>
      </c>
      <c r="C707" s="11" t="s">
        <v>42</v>
      </c>
      <c r="D707" s="15" t="s">
        <v>1508</v>
      </c>
      <c r="E707" s="13">
        <v>18</v>
      </c>
      <c r="F707" s="13">
        <v>7</v>
      </c>
      <c r="G707" s="13">
        <f t="shared" si="34"/>
        <v>181</v>
      </c>
      <c r="H707" s="13">
        <v>138</v>
      </c>
      <c r="I707" s="14">
        <f t="shared" ref="I707:I770" si="35">($E707+$G707)/365-$H707</f>
        <v>-137.45479452054795</v>
      </c>
      <c r="J707" s="15" t="s">
        <v>1509</v>
      </c>
      <c r="T707" s="8"/>
      <c r="AC707">
        <v>10</v>
      </c>
      <c r="AD707" s="17">
        <v>10</v>
      </c>
      <c r="AE707" s="16">
        <f>1000/AD707</f>
        <v>100</v>
      </c>
      <c r="AF707" s="16">
        <f>8.33*AE707</f>
        <v>833</v>
      </c>
    </row>
    <row r="708" spans="1:36" x14ac:dyDescent="0.2">
      <c r="A708">
        <v>-137</v>
      </c>
      <c r="B708" s="10" t="s">
        <v>130</v>
      </c>
      <c r="C708" s="11" t="s">
        <v>45</v>
      </c>
      <c r="D708" s="15" t="s">
        <v>1510</v>
      </c>
      <c r="E708" s="13">
        <v>28</v>
      </c>
      <c r="F708" s="13">
        <v>8</v>
      </c>
      <c r="G708" s="13">
        <f t="shared" si="34"/>
        <v>212</v>
      </c>
      <c r="H708" s="13">
        <v>138</v>
      </c>
      <c r="I708" s="14">
        <f t="shared" si="35"/>
        <v>-137.34246575342465</v>
      </c>
      <c r="J708" s="15" t="s">
        <v>1506</v>
      </c>
      <c r="T708" s="8"/>
      <c r="AC708" t="s">
        <v>41</v>
      </c>
    </row>
    <row r="709" spans="1:36" x14ac:dyDescent="0.2">
      <c r="A709">
        <v>-137</v>
      </c>
      <c r="B709" s="10" t="s">
        <v>285</v>
      </c>
      <c r="D709" s="15" t="s">
        <v>1511</v>
      </c>
      <c r="E709" s="13">
        <v>6</v>
      </c>
      <c r="F709" s="13">
        <v>8</v>
      </c>
      <c r="G709" s="13">
        <f t="shared" si="34"/>
        <v>212</v>
      </c>
      <c r="H709" s="13">
        <v>138</v>
      </c>
      <c r="I709" s="14">
        <f t="shared" si="35"/>
        <v>-137.40273972602739</v>
      </c>
      <c r="J709" s="15" t="s">
        <v>1512</v>
      </c>
      <c r="K709" s="2">
        <v>75</v>
      </c>
      <c r="L709" s="8">
        <v>75</v>
      </c>
      <c r="M709" s="8">
        <f>1000/L709</f>
        <v>13.333333333333334</v>
      </c>
      <c r="N709" s="8">
        <f>8.33*M709</f>
        <v>111.06666666666668</v>
      </c>
      <c r="O709" s="8">
        <f>1.613*N709</f>
        <v>179.15053333333336</v>
      </c>
      <c r="P709" t="s">
        <v>41</v>
      </c>
      <c r="T709" s="8"/>
      <c r="AG709" t="s">
        <v>41</v>
      </c>
    </row>
    <row r="710" spans="1:36" x14ac:dyDescent="0.2">
      <c r="A710">
        <v>-137</v>
      </c>
      <c r="B710" s="10" t="s">
        <v>94</v>
      </c>
      <c r="D710" s="15" t="s">
        <v>1513</v>
      </c>
      <c r="E710" s="13">
        <v>3</v>
      </c>
      <c r="F710" s="13">
        <v>11</v>
      </c>
      <c r="G710" s="13">
        <f t="shared" si="34"/>
        <v>304</v>
      </c>
      <c r="H710" s="13">
        <v>138</v>
      </c>
      <c r="I710" s="14">
        <f t="shared" si="35"/>
        <v>-137.15890410958903</v>
      </c>
      <c r="J710" s="15" t="s">
        <v>1514</v>
      </c>
      <c r="K710" s="2"/>
      <c r="L710" s="8"/>
      <c r="T710" s="8"/>
      <c r="Y710" s="1">
        <v>12</v>
      </c>
      <c r="Z710" s="9">
        <v>12</v>
      </c>
      <c r="AA710" s="8">
        <f>1000/Z710</f>
        <v>83.333333333333329</v>
      </c>
      <c r="AB710" s="8">
        <f>8.33*AA710</f>
        <v>694.16666666666663</v>
      </c>
    </row>
    <row r="711" spans="1:36" x14ac:dyDescent="0.2">
      <c r="A711">
        <v>-137</v>
      </c>
      <c r="B711" s="10" t="s">
        <v>1515</v>
      </c>
      <c r="C711" s="11" t="s">
        <v>39</v>
      </c>
      <c r="D711" s="15" t="s">
        <v>1513</v>
      </c>
      <c r="E711" s="13">
        <v>3</v>
      </c>
      <c r="F711" s="13">
        <v>11</v>
      </c>
      <c r="G711" s="13">
        <f t="shared" si="34"/>
        <v>304</v>
      </c>
      <c r="H711" s="13">
        <v>138</v>
      </c>
      <c r="I711" s="14">
        <f t="shared" si="35"/>
        <v>-137.15890410958903</v>
      </c>
      <c r="J711" s="15" t="s">
        <v>1516</v>
      </c>
      <c r="K711" s="2"/>
      <c r="L711" s="8"/>
      <c r="P711" t="s">
        <v>1517</v>
      </c>
      <c r="Q711" s="20">
        <v>300</v>
      </c>
      <c r="R711" s="19">
        <f>1000/Q711</f>
        <v>3.3333333333333335</v>
      </c>
      <c r="S711" s="19">
        <f>8.33*R711</f>
        <v>27.766666666666669</v>
      </c>
      <c r="T711" s="19">
        <f>S711*1.33</f>
        <v>36.92966666666667</v>
      </c>
      <c r="U711">
        <v>720</v>
      </c>
      <c r="V711" s="17">
        <v>720</v>
      </c>
      <c r="W711" s="16">
        <f>1000/V711</f>
        <v>1.3888888888888888</v>
      </c>
      <c r="X711" s="16">
        <f>8.33*W711</f>
        <v>11.569444444444445</v>
      </c>
      <c r="AC711" t="s">
        <v>41</v>
      </c>
    </row>
    <row r="712" spans="1:36" x14ac:dyDescent="0.2">
      <c r="A712">
        <v>-137</v>
      </c>
      <c r="B712" s="10" t="s">
        <v>94</v>
      </c>
      <c r="C712" s="11" t="s">
        <v>42</v>
      </c>
      <c r="D712" s="15" t="s">
        <v>1518</v>
      </c>
      <c r="E712" s="13">
        <v>13</v>
      </c>
      <c r="F712" s="13">
        <v>11</v>
      </c>
      <c r="G712" s="13">
        <f t="shared" si="34"/>
        <v>304</v>
      </c>
      <c r="H712" s="13">
        <v>138</v>
      </c>
      <c r="I712" s="14">
        <f t="shared" si="35"/>
        <v>-137.13150684931506</v>
      </c>
      <c r="J712" s="15" t="s">
        <v>1519</v>
      </c>
      <c r="K712" s="2"/>
      <c r="L712" s="8"/>
      <c r="Y712" s="1"/>
      <c r="Z712" s="9"/>
    </row>
    <row r="713" spans="1:36" x14ac:dyDescent="0.2">
      <c r="A713">
        <v>-137</v>
      </c>
      <c r="B713" s="10" t="s">
        <v>1515</v>
      </c>
      <c r="C713" s="11" t="s">
        <v>1520</v>
      </c>
      <c r="D713" s="25" t="s">
        <v>1518</v>
      </c>
      <c r="E713" s="13">
        <v>13</v>
      </c>
      <c r="F713" s="13">
        <v>11</v>
      </c>
      <c r="G713" s="13">
        <f t="shared" si="34"/>
        <v>304</v>
      </c>
      <c r="H713" s="13">
        <v>138</v>
      </c>
      <c r="I713" s="14">
        <f t="shared" si="35"/>
        <v>-137.13150684931506</v>
      </c>
      <c r="J713" s="7" t="s">
        <v>1521</v>
      </c>
      <c r="K713" s="29">
        <v>63</v>
      </c>
      <c r="L713" s="16">
        <v>63</v>
      </c>
      <c r="M713" s="16">
        <f>1000/L713</f>
        <v>15.873015873015873</v>
      </c>
      <c r="N713" s="16">
        <f>8.33*M713</f>
        <v>132.22222222222223</v>
      </c>
      <c r="O713" s="16">
        <f>1.613*N713</f>
        <v>213.27444444444444</v>
      </c>
    </row>
    <row r="714" spans="1:36" x14ac:dyDescent="0.2">
      <c r="A714">
        <v>-137</v>
      </c>
      <c r="B714" s="10" t="s">
        <v>94</v>
      </c>
      <c r="C714" s="11">
        <v>14</v>
      </c>
      <c r="D714" s="7" t="s">
        <v>1522</v>
      </c>
      <c r="E714" s="13">
        <v>16</v>
      </c>
      <c r="F714" s="13">
        <v>11</v>
      </c>
      <c r="G714" s="13">
        <f t="shared" si="34"/>
        <v>304</v>
      </c>
      <c r="H714" s="13">
        <v>138</v>
      </c>
      <c r="I714" s="14">
        <f t="shared" si="35"/>
        <v>-137.12328767123287</v>
      </c>
      <c r="J714" s="7"/>
      <c r="K714" s="10">
        <v>60</v>
      </c>
      <c r="L714" s="16">
        <v>60</v>
      </c>
      <c r="M714" s="16">
        <f>1000/L714</f>
        <v>16.666666666666668</v>
      </c>
      <c r="N714" s="16">
        <f>8.33*M714</f>
        <v>138.83333333333334</v>
      </c>
      <c r="O714" s="16">
        <f>1.613*N714</f>
        <v>223.93816666666669</v>
      </c>
    </row>
    <row r="715" spans="1:36" x14ac:dyDescent="0.2">
      <c r="A715">
        <v>-137</v>
      </c>
      <c r="B715" s="10" t="s">
        <v>1515</v>
      </c>
      <c r="C715" s="11" t="s">
        <v>1523</v>
      </c>
      <c r="D715" s="7" t="s">
        <v>1524</v>
      </c>
      <c r="E715" s="13">
        <v>17</v>
      </c>
      <c r="F715" s="13">
        <v>11</v>
      </c>
      <c r="G715" s="13">
        <f t="shared" si="34"/>
        <v>304</v>
      </c>
      <c r="H715" s="13">
        <v>138</v>
      </c>
      <c r="I715" s="14">
        <f t="shared" si="35"/>
        <v>-137.12054794520549</v>
      </c>
      <c r="J715" s="7" t="s">
        <v>1519</v>
      </c>
      <c r="K715" s="10">
        <v>54</v>
      </c>
      <c r="L715" s="16">
        <v>54</v>
      </c>
      <c r="M715" s="16">
        <f>1000/L715</f>
        <v>18.518518518518519</v>
      </c>
      <c r="N715" s="16">
        <f>8.33*M715</f>
        <v>154.25925925925927</v>
      </c>
      <c r="O715" s="16">
        <f>1.613*N715</f>
        <v>248.82018518518518</v>
      </c>
    </row>
    <row r="716" spans="1:36" x14ac:dyDescent="0.2">
      <c r="A716">
        <v>-137</v>
      </c>
      <c r="B716" s="10" t="s">
        <v>94</v>
      </c>
      <c r="C716" s="11" t="s">
        <v>1525</v>
      </c>
      <c r="D716" s="7" t="s">
        <v>1526</v>
      </c>
      <c r="E716" s="13">
        <v>23</v>
      </c>
      <c r="F716" s="13">
        <v>11</v>
      </c>
      <c r="G716" s="13">
        <f t="shared" si="34"/>
        <v>304</v>
      </c>
      <c r="H716" s="13">
        <v>138</v>
      </c>
      <c r="I716" s="14">
        <f t="shared" si="35"/>
        <v>-137.10410958904109</v>
      </c>
      <c r="J716" s="7" t="s">
        <v>1527</v>
      </c>
      <c r="K716" s="10" t="s">
        <v>1528</v>
      </c>
      <c r="L716" s="19">
        <v>52</v>
      </c>
      <c r="M716" s="19">
        <f>1000/L716</f>
        <v>19.23076923076923</v>
      </c>
      <c r="N716" s="19">
        <f>8.33*M716</f>
        <v>160.19230769230768</v>
      </c>
      <c r="O716" s="19">
        <f>1.613*N716</f>
        <v>258.3901923076923</v>
      </c>
    </row>
    <row r="717" spans="1:36" x14ac:dyDescent="0.2">
      <c r="A717">
        <v>-137</v>
      </c>
      <c r="B717" s="10" t="s">
        <v>94</v>
      </c>
      <c r="C717" s="11" t="s">
        <v>45</v>
      </c>
      <c r="D717" s="15" t="s">
        <v>1526</v>
      </c>
      <c r="E717" s="13">
        <v>23</v>
      </c>
      <c r="F717" s="13">
        <v>12</v>
      </c>
      <c r="G717" s="13">
        <f t="shared" si="34"/>
        <v>334</v>
      </c>
      <c r="H717" s="13">
        <v>138</v>
      </c>
      <c r="I717" s="14">
        <f t="shared" si="35"/>
        <v>-137.02191780821917</v>
      </c>
      <c r="J717" s="15" t="s">
        <v>1514</v>
      </c>
      <c r="U717">
        <v>624</v>
      </c>
      <c r="V717" s="17">
        <v>624</v>
      </c>
      <c r="W717" s="16">
        <f>1000/V717</f>
        <v>1.6025641025641026</v>
      </c>
      <c r="X717" s="16">
        <f>8.33*W717</f>
        <v>13.349358974358974</v>
      </c>
    </row>
    <row r="718" spans="1:36" x14ac:dyDescent="0.2">
      <c r="A718">
        <v>-137</v>
      </c>
      <c r="B718" s="10" t="s">
        <v>36</v>
      </c>
      <c r="D718" s="15" t="s">
        <v>1529</v>
      </c>
      <c r="E718" s="13">
        <v>3</v>
      </c>
      <c r="F718" s="13">
        <v>12</v>
      </c>
      <c r="G718" s="13">
        <f t="shared" si="34"/>
        <v>334</v>
      </c>
      <c r="H718" s="13">
        <v>138</v>
      </c>
      <c r="I718" s="14">
        <f t="shared" si="35"/>
        <v>-137.07671232876712</v>
      </c>
      <c r="J718" s="15" t="s">
        <v>1530</v>
      </c>
      <c r="AG718" s="1">
        <v>2</v>
      </c>
      <c r="AH718" s="9">
        <v>2</v>
      </c>
      <c r="AI718" s="8">
        <f>1/AH718</f>
        <v>0.5</v>
      </c>
      <c r="AJ718" s="8">
        <f>8.33*AI718</f>
        <v>4.165</v>
      </c>
    </row>
    <row r="719" spans="1:36" x14ac:dyDescent="0.2">
      <c r="A719">
        <v>-137</v>
      </c>
      <c r="B719" s="10" t="s">
        <v>36</v>
      </c>
      <c r="C719" s="11" t="s">
        <v>39</v>
      </c>
      <c r="D719" s="15" t="s">
        <v>1529</v>
      </c>
      <c r="E719" s="13">
        <v>3</v>
      </c>
      <c r="F719" s="13">
        <v>12</v>
      </c>
      <c r="G719" s="13">
        <f t="shared" si="34"/>
        <v>334</v>
      </c>
      <c r="H719" s="13">
        <v>138</v>
      </c>
      <c r="I719" s="14">
        <f t="shared" si="35"/>
        <v>-137.07671232876712</v>
      </c>
      <c r="J719" s="15" t="s">
        <v>1531</v>
      </c>
      <c r="P719" t="s">
        <v>1532</v>
      </c>
      <c r="Q719" s="20">
        <v>300</v>
      </c>
      <c r="R719" s="19">
        <f>1000/Q719</f>
        <v>3.3333333333333335</v>
      </c>
      <c r="S719" s="19">
        <f>8.33*R719</f>
        <v>27.766666666666669</v>
      </c>
      <c r="T719" s="19">
        <f>S719*1.33</f>
        <v>36.92966666666667</v>
      </c>
      <c r="AC719">
        <v>9</v>
      </c>
      <c r="AD719" s="17">
        <v>9</v>
      </c>
      <c r="AE719" s="16">
        <f>1000/AD719</f>
        <v>111.11111111111111</v>
      </c>
      <c r="AF719" s="16">
        <f>8.33*AE719</f>
        <v>925.55555555555554</v>
      </c>
    </row>
    <row r="720" spans="1:36" x14ac:dyDescent="0.2">
      <c r="A720">
        <v>-137</v>
      </c>
      <c r="B720" s="10" t="s">
        <v>36</v>
      </c>
      <c r="C720" s="11" t="s">
        <v>42</v>
      </c>
      <c r="D720" s="15" t="s">
        <v>1533</v>
      </c>
      <c r="E720" s="13">
        <v>13</v>
      </c>
      <c r="F720" s="13">
        <v>12</v>
      </c>
      <c r="G720" s="13">
        <f t="shared" si="34"/>
        <v>334</v>
      </c>
      <c r="H720" s="13">
        <v>138</v>
      </c>
      <c r="I720" s="14">
        <f t="shared" si="35"/>
        <v>-137.04931506849314</v>
      </c>
      <c r="J720" s="15" t="s">
        <v>1534</v>
      </c>
      <c r="K720" s="10">
        <v>51</v>
      </c>
      <c r="L720" s="16">
        <v>51</v>
      </c>
      <c r="M720" s="16">
        <f>1000/L720</f>
        <v>19.607843137254903</v>
      </c>
      <c r="N720" s="16">
        <f>8.33*M720</f>
        <v>163.33333333333334</v>
      </c>
      <c r="O720" s="16">
        <f>1.613*N720</f>
        <v>263.45666666666671</v>
      </c>
      <c r="P720" t="s">
        <v>835</v>
      </c>
      <c r="T720" s="8"/>
      <c r="AD720" s="20">
        <v>9</v>
      </c>
      <c r="AE720" s="19">
        <v>111.11</v>
      </c>
      <c r="AF720" s="16">
        <v>925.56</v>
      </c>
    </row>
    <row r="721" spans="1:36" x14ac:dyDescent="0.2">
      <c r="A721">
        <v>-137</v>
      </c>
      <c r="B721" s="10" t="s">
        <v>36</v>
      </c>
      <c r="C721" s="11" t="s">
        <v>45</v>
      </c>
      <c r="D721" s="15" t="s">
        <v>1535</v>
      </c>
      <c r="E721" s="13">
        <v>23</v>
      </c>
      <c r="F721" s="13">
        <v>12</v>
      </c>
      <c r="G721" s="13">
        <f t="shared" si="34"/>
        <v>334</v>
      </c>
      <c r="H721" s="13">
        <v>138</v>
      </c>
      <c r="I721" s="14">
        <f t="shared" si="35"/>
        <v>-137.02191780821917</v>
      </c>
      <c r="J721" s="15" t="s">
        <v>1530</v>
      </c>
      <c r="K721" s="10">
        <v>48</v>
      </c>
      <c r="L721" s="16">
        <v>48</v>
      </c>
      <c r="M721" s="16">
        <f>1000/L721</f>
        <v>20.833333333333332</v>
      </c>
      <c r="N721" s="16">
        <f>8.33*M721</f>
        <v>173.54166666666666</v>
      </c>
      <c r="O721" s="16">
        <f>1.613*N721</f>
        <v>279.92270833333333</v>
      </c>
      <c r="T721" s="8"/>
      <c r="AC721">
        <v>8</v>
      </c>
      <c r="AD721" s="17">
        <v>8</v>
      </c>
      <c r="AE721" s="16">
        <f>1000/AD721</f>
        <v>125</v>
      </c>
      <c r="AF721" s="16">
        <f>8.33*AE721</f>
        <v>1041.25</v>
      </c>
    </row>
    <row r="722" spans="1:36" x14ac:dyDescent="0.2">
      <c r="A722">
        <v>-137</v>
      </c>
      <c r="B722" s="10" t="s">
        <v>75</v>
      </c>
      <c r="D722" s="15" t="s">
        <v>1536</v>
      </c>
      <c r="E722" s="13">
        <v>1</v>
      </c>
      <c r="F722" s="13">
        <v>1</v>
      </c>
      <c r="G722" s="13">
        <f t="shared" si="34"/>
        <v>0</v>
      </c>
      <c r="H722" s="13">
        <v>137</v>
      </c>
      <c r="I722" s="14">
        <f t="shared" si="35"/>
        <v>-136.99726027397261</v>
      </c>
      <c r="J722" s="15" t="s">
        <v>1537</v>
      </c>
      <c r="T722" s="8"/>
      <c r="Y722" s="1">
        <v>10</v>
      </c>
      <c r="Z722" s="9">
        <v>10</v>
      </c>
      <c r="AA722" s="8">
        <f>1000/Z722</f>
        <v>100</v>
      </c>
      <c r="AB722" s="8">
        <f>8.33*AA722</f>
        <v>833</v>
      </c>
      <c r="AC722" s="1">
        <v>9</v>
      </c>
      <c r="AD722" s="9">
        <v>9</v>
      </c>
      <c r="AE722" s="8">
        <f>1000/AD722</f>
        <v>111.11111111111111</v>
      </c>
      <c r="AF722" s="8">
        <f>8.33*AE722</f>
        <v>925.55555555555554</v>
      </c>
    </row>
    <row r="723" spans="1:36" x14ac:dyDescent="0.2">
      <c r="A723">
        <v>-137</v>
      </c>
      <c r="B723" s="10" t="s">
        <v>145</v>
      </c>
      <c r="C723" s="11" t="s">
        <v>39</v>
      </c>
      <c r="D723" s="15" t="s">
        <v>1536</v>
      </c>
      <c r="E723" s="13">
        <v>1</v>
      </c>
      <c r="F723" s="13">
        <v>1</v>
      </c>
      <c r="G723" s="13">
        <f t="shared" si="34"/>
        <v>0</v>
      </c>
      <c r="H723" s="13">
        <v>137</v>
      </c>
      <c r="I723" s="14">
        <f t="shared" si="35"/>
        <v>-136.99726027397261</v>
      </c>
      <c r="J723" s="15" t="s">
        <v>1538</v>
      </c>
      <c r="K723" s="10">
        <v>54</v>
      </c>
      <c r="L723" s="16">
        <v>54</v>
      </c>
      <c r="M723" s="16">
        <f>1000/L723</f>
        <v>18.518518518518519</v>
      </c>
      <c r="N723" s="16">
        <f>8.33*M723</f>
        <v>154.25925925925927</v>
      </c>
      <c r="O723" s="16">
        <f>1.613*N723</f>
        <v>248.82018518518518</v>
      </c>
      <c r="T723" s="8"/>
      <c r="AG723" s="18">
        <v>2</v>
      </c>
      <c r="AH723" s="17">
        <v>2</v>
      </c>
      <c r="AI723" s="16">
        <f>1/AH723</f>
        <v>0.5</v>
      </c>
      <c r="AJ723" s="16">
        <f>8.33*AI723</f>
        <v>4.165</v>
      </c>
    </row>
    <row r="724" spans="1:36" x14ac:dyDescent="0.2">
      <c r="A724">
        <v>-137</v>
      </c>
      <c r="B724" s="10" t="s">
        <v>145</v>
      </c>
      <c r="C724" s="11" t="s">
        <v>1539</v>
      </c>
      <c r="D724" s="7" t="s">
        <v>1536</v>
      </c>
      <c r="E724" s="13">
        <v>1</v>
      </c>
      <c r="F724" s="13">
        <v>1</v>
      </c>
      <c r="G724" s="13">
        <f t="shared" si="34"/>
        <v>0</v>
      </c>
      <c r="H724" s="13">
        <v>137</v>
      </c>
      <c r="I724" s="14">
        <f t="shared" si="35"/>
        <v>-136.99726027397261</v>
      </c>
      <c r="J724" s="7" t="s">
        <v>1540</v>
      </c>
      <c r="P724">
        <v>360</v>
      </c>
      <c r="Q724" s="17">
        <v>360</v>
      </c>
      <c r="R724" s="16">
        <f>1000/Q724</f>
        <v>2.7777777777777777</v>
      </c>
      <c r="S724" s="16">
        <f>8.33*R724</f>
        <v>23.138888888888889</v>
      </c>
      <c r="T724" s="16">
        <f>S724*1.33</f>
        <v>30.774722222222223</v>
      </c>
      <c r="AI724" s="16"/>
      <c r="AJ724" s="16"/>
    </row>
    <row r="725" spans="1:36" x14ac:dyDescent="0.2">
      <c r="A725">
        <v>-137</v>
      </c>
      <c r="B725" s="10" t="s">
        <v>145</v>
      </c>
      <c r="C725" s="11" t="s">
        <v>1541</v>
      </c>
      <c r="D725" s="7" t="s">
        <v>1542</v>
      </c>
      <c r="E725" s="13">
        <v>4</v>
      </c>
      <c r="F725" s="13">
        <v>1</v>
      </c>
      <c r="G725" s="13">
        <f t="shared" si="34"/>
        <v>0</v>
      </c>
      <c r="H725" s="13">
        <v>137</v>
      </c>
      <c r="I725" s="14">
        <f t="shared" si="35"/>
        <v>-136.9890410958904</v>
      </c>
      <c r="J725" s="7" t="s">
        <v>1543</v>
      </c>
      <c r="P725">
        <v>342</v>
      </c>
      <c r="Q725" s="17">
        <v>342</v>
      </c>
      <c r="R725" s="16">
        <f>1000/Q725</f>
        <v>2.9239766081871346</v>
      </c>
      <c r="S725" s="16">
        <f>8.33*R725</f>
        <v>24.35672514619883</v>
      </c>
      <c r="T725" s="16">
        <f>S725*1.33</f>
        <v>32.394444444444446</v>
      </c>
      <c r="AI725" s="16"/>
      <c r="AJ725" s="16"/>
    </row>
    <row r="726" spans="1:36" x14ac:dyDescent="0.2">
      <c r="A726">
        <v>-137</v>
      </c>
      <c r="B726" s="10" t="s">
        <v>145</v>
      </c>
      <c r="C726" s="11">
        <v>6</v>
      </c>
      <c r="D726" s="7" t="s">
        <v>1544</v>
      </c>
      <c r="E726" s="13">
        <v>6</v>
      </c>
      <c r="F726" s="13">
        <v>1</v>
      </c>
      <c r="G726" s="13">
        <f t="shared" si="34"/>
        <v>0</v>
      </c>
      <c r="H726" s="13">
        <v>137</v>
      </c>
      <c r="I726" s="14">
        <f t="shared" si="35"/>
        <v>-136.98356164383563</v>
      </c>
      <c r="J726" s="7"/>
      <c r="P726">
        <v>330</v>
      </c>
      <c r="Q726" s="17">
        <v>330</v>
      </c>
      <c r="R726" s="16">
        <f>1000/Q726</f>
        <v>3.0303030303030303</v>
      </c>
      <c r="S726" s="16">
        <f>8.33*R726</f>
        <v>25.242424242424242</v>
      </c>
      <c r="T726" s="16">
        <f>S726*1.33</f>
        <v>33.572424242424241</v>
      </c>
      <c r="AI726" s="16"/>
      <c r="AJ726" s="16"/>
    </row>
    <row r="727" spans="1:36" x14ac:dyDescent="0.2">
      <c r="A727">
        <v>-137</v>
      </c>
      <c r="B727" s="10" t="s">
        <v>145</v>
      </c>
      <c r="C727" s="11" t="s">
        <v>1545</v>
      </c>
      <c r="D727" s="7" t="s">
        <v>1546</v>
      </c>
      <c r="E727" s="13">
        <v>7</v>
      </c>
      <c r="F727" s="13">
        <v>1</v>
      </c>
      <c r="G727" s="13">
        <f t="shared" si="34"/>
        <v>0</v>
      </c>
      <c r="H727" s="13">
        <v>137</v>
      </c>
      <c r="I727" s="14">
        <f t="shared" si="35"/>
        <v>-136.98082191780821</v>
      </c>
      <c r="J727" s="7" t="s">
        <v>1547</v>
      </c>
      <c r="P727" t="s">
        <v>1548</v>
      </c>
      <c r="Q727" s="20">
        <v>312</v>
      </c>
      <c r="R727" s="19">
        <f>1000/Q727</f>
        <v>3.2051282051282053</v>
      </c>
      <c r="S727" s="19">
        <f>8.33*R727</f>
        <v>26.698717948717949</v>
      </c>
      <c r="T727" s="19">
        <f>S727*1.33</f>
        <v>35.509294871794872</v>
      </c>
      <c r="AI727" s="16"/>
      <c r="AJ727" s="16"/>
    </row>
    <row r="728" spans="1:36" x14ac:dyDescent="0.2">
      <c r="A728">
        <v>-137</v>
      </c>
      <c r="B728" s="10" t="s">
        <v>75</v>
      </c>
      <c r="C728" s="11" t="s">
        <v>1549</v>
      </c>
      <c r="D728" s="7" t="s">
        <v>1550</v>
      </c>
      <c r="E728" s="13">
        <v>9</v>
      </c>
      <c r="F728" s="13">
        <v>1</v>
      </c>
      <c r="G728" s="13">
        <f t="shared" si="34"/>
        <v>0</v>
      </c>
      <c r="H728" s="13">
        <v>137</v>
      </c>
      <c r="I728" s="14">
        <f t="shared" si="35"/>
        <v>-136.97534246575341</v>
      </c>
      <c r="J728" s="7"/>
      <c r="P728">
        <v>300</v>
      </c>
      <c r="Q728" s="17">
        <v>300</v>
      </c>
      <c r="R728" s="16">
        <f>1000/Q728</f>
        <v>3.3333333333333335</v>
      </c>
      <c r="S728" s="16">
        <f>8.33*R728</f>
        <v>27.766666666666669</v>
      </c>
      <c r="T728" s="16">
        <f>S728*1.33</f>
        <v>36.92966666666667</v>
      </c>
      <c r="AI728" s="16"/>
      <c r="AJ728" s="16"/>
    </row>
    <row r="729" spans="1:36" x14ac:dyDescent="0.2">
      <c r="A729">
        <v>-137</v>
      </c>
      <c r="B729" s="10" t="s">
        <v>75</v>
      </c>
      <c r="C729" s="11" t="s">
        <v>42</v>
      </c>
      <c r="D729" s="26" t="s">
        <v>1551</v>
      </c>
      <c r="E729" s="13">
        <v>11</v>
      </c>
      <c r="F729" s="13">
        <v>1</v>
      </c>
      <c r="G729" s="13">
        <f t="shared" si="34"/>
        <v>0</v>
      </c>
      <c r="H729" s="13">
        <v>137</v>
      </c>
      <c r="I729" s="14">
        <f t="shared" si="35"/>
        <v>-136.96986301369864</v>
      </c>
      <c r="J729" s="26" t="s">
        <v>1552</v>
      </c>
      <c r="L729" s="19">
        <v>54</v>
      </c>
      <c r="M729" s="19">
        <v>18.52</v>
      </c>
      <c r="N729" s="19">
        <v>154.26</v>
      </c>
      <c r="O729" s="19">
        <v>263.45999999999998</v>
      </c>
      <c r="AH729" s="20">
        <v>2</v>
      </c>
      <c r="AI729" s="19">
        <v>0.5</v>
      </c>
      <c r="AJ729" s="19">
        <v>4.17</v>
      </c>
    </row>
    <row r="730" spans="1:36" x14ac:dyDescent="0.2">
      <c r="A730">
        <v>-137</v>
      </c>
      <c r="B730" s="10" t="s">
        <v>145</v>
      </c>
      <c r="C730" s="11" t="s">
        <v>45</v>
      </c>
      <c r="D730" s="15" t="s">
        <v>1553</v>
      </c>
      <c r="E730" s="13">
        <v>21</v>
      </c>
      <c r="F730" s="13">
        <v>1</v>
      </c>
      <c r="G730" s="13">
        <f t="shared" si="34"/>
        <v>0</v>
      </c>
      <c r="H730" s="13">
        <v>137</v>
      </c>
      <c r="I730" s="14">
        <f t="shared" si="35"/>
        <v>-136.94246575342467</v>
      </c>
      <c r="J730" s="15" t="s">
        <v>1537</v>
      </c>
      <c r="K730" s="10">
        <v>51</v>
      </c>
      <c r="L730" s="16">
        <v>51</v>
      </c>
      <c r="M730" s="16">
        <f>1000/L730</f>
        <v>19.607843137254903</v>
      </c>
      <c r="N730" s="16">
        <f>8.33*M730</f>
        <v>163.33333333333334</v>
      </c>
      <c r="O730" s="16">
        <f>1.613*N730</f>
        <v>263.45666666666671</v>
      </c>
      <c r="AG730">
        <v>2.5</v>
      </c>
      <c r="AH730" s="17">
        <v>2.5</v>
      </c>
      <c r="AI730" s="16">
        <f>1/AH730</f>
        <v>0.4</v>
      </c>
      <c r="AJ730" s="16">
        <f>8.33*AI730</f>
        <v>3.3320000000000003</v>
      </c>
    </row>
    <row r="731" spans="1:36" x14ac:dyDescent="0.2">
      <c r="A731">
        <v>-137</v>
      </c>
      <c r="B731" s="10" t="s">
        <v>127</v>
      </c>
      <c r="D731" s="15" t="s">
        <v>1554</v>
      </c>
      <c r="E731" s="13">
        <v>28</v>
      </c>
      <c r="F731" s="13">
        <v>2</v>
      </c>
      <c r="G731" s="13">
        <f t="shared" si="34"/>
        <v>31</v>
      </c>
      <c r="H731" s="13">
        <v>137</v>
      </c>
      <c r="I731" s="14">
        <f t="shared" si="35"/>
        <v>-136.83835616438355</v>
      </c>
      <c r="J731" s="15" t="s">
        <v>1555</v>
      </c>
      <c r="K731" s="10">
        <v>51</v>
      </c>
      <c r="L731" s="16">
        <v>51</v>
      </c>
      <c r="M731" s="16">
        <f>1000/L731</f>
        <v>19.607843137254903</v>
      </c>
      <c r="N731" s="16">
        <f>8.33*M731</f>
        <v>163.33333333333334</v>
      </c>
      <c r="O731" s="16">
        <f>1.613*N731</f>
        <v>263.45666666666671</v>
      </c>
      <c r="P731">
        <v>210</v>
      </c>
      <c r="Q731" s="17">
        <v>210</v>
      </c>
      <c r="R731" s="16">
        <f>1000/Q731</f>
        <v>4.7619047619047619</v>
      </c>
      <c r="S731" s="16">
        <f>8.33*R731</f>
        <v>39.666666666666664</v>
      </c>
      <c r="T731" s="16">
        <f>S731*1.33</f>
        <v>52.756666666666668</v>
      </c>
      <c r="U731" t="s">
        <v>244</v>
      </c>
      <c r="V731" s="20">
        <v>720</v>
      </c>
      <c r="W731" s="19">
        <f>1000/V731</f>
        <v>1.3888888888888888</v>
      </c>
      <c r="X731" s="19">
        <f>8.33*W731</f>
        <v>11.569444444444445</v>
      </c>
    </row>
    <row r="732" spans="1:36" x14ac:dyDescent="0.2">
      <c r="A732">
        <v>-136</v>
      </c>
      <c r="B732" s="10" t="s">
        <v>94</v>
      </c>
      <c r="D732" s="15" t="s">
        <v>1556</v>
      </c>
      <c r="E732" s="13">
        <v>23</v>
      </c>
      <c r="F732" s="13">
        <v>10</v>
      </c>
      <c r="G732" s="13">
        <f t="shared" si="34"/>
        <v>273</v>
      </c>
      <c r="H732" s="13">
        <v>137</v>
      </c>
      <c r="I732" s="14">
        <f t="shared" si="35"/>
        <v>-136.18904109589042</v>
      </c>
      <c r="J732" s="15" t="s">
        <v>1557</v>
      </c>
      <c r="U732" s="1">
        <v>414</v>
      </c>
      <c r="V732" s="9">
        <v>414</v>
      </c>
      <c r="W732" s="8">
        <f>1000/V732</f>
        <v>2.4154589371980677</v>
      </c>
      <c r="X732" s="8">
        <f>8.33*W732</f>
        <v>20.120772946859905</v>
      </c>
      <c r="Y732" s="1">
        <v>20</v>
      </c>
      <c r="Z732" s="9">
        <v>20</v>
      </c>
      <c r="AA732" s="8">
        <f>1000/Z732</f>
        <v>50</v>
      </c>
      <c r="AB732" s="8">
        <f>8.33*AA732</f>
        <v>416.5</v>
      </c>
      <c r="AC732" s="1">
        <v>15</v>
      </c>
      <c r="AD732" s="9">
        <v>15</v>
      </c>
      <c r="AE732" s="8">
        <f>1000/AD732</f>
        <v>66.666666666666671</v>
      </c>
      <c r="AF732" s="8">
        <f>8.33*AE732</f>
        <v>555.33333333333337</v>
      </c>
      <c r="AG732" t="s">
        <v>41</v>
      </c>
    </row>
    <row r="733" spans="1:36" x14ac:dyDescent="0.2">
      <c r="A733">
        <v>-136</v>
      </c>
      <c r="B733" s="10" t="s">
        <v>75</v>
      </c>
      <c r="C733" s="11" t="s">
        <v>39</v>
      </c>
      <c r="D733" s="15" t="s">
        <v>1558</v>
      </c>
      <c r="E733" s="13">
        <v>20</v>
      </c>
      <c r="F733" s="13">
        <v>12</v>
      </c>
      <c r="G733" s="13">
        <f t="shared" si="34"/>
        <v>334</v>
      </c>
      <c r="H733" s="13">
        <v>137</v>
      </c>
      <c r="I733" s="14">
        <f t="shared" si="35"/>
        <v>-136.03013698630136</v>
      </c>
      <c r="J733" s="15" t="s">
        <v>1559</v>
      </c>
      <c r="P733">
        <v>288</v>
      </c>
      <c r="Q733" s="17">
        <v>288</v>
      </c>
      <c r="R733" s="16">
        <f>1000/Q733</f>
        <v>3.4722222222222223</v>
      </c>
      <c r="S733" s="16">
        <f>8.33*R733</f>
        <v>28.923611111111111</v>
      </c>
      <c r="T733" s="16">
        <f>S733*1.33</f>
        <v>38.468402777777783</v>
      </c>
    </row>
    <row r="734" spans="1:36" x14ac:dyDescent="0.2">
      <c r="A734">
        <v>-136</v>
      </c>
      <c r="B734" s="10" t="s">
        <v>75</v>
      </c>
      <c r="C734" s="11" t="s">
        <v>42</v>
      </c>
      <c r="D734" s="15" t="s">
        <v>1560</v>
      </c>
      <c r="E734" s="13">
        <v>30</v>
      </c>
      <c r="F734" s="13">
        <v>12</v>
      </c>
      <c r="G734" s="13">
        <f t="shared" si="34"/>
        <v>334</v>
      </c>
      <c r="H734" s="13">
        <v>137</v>
      </c>
      <c r="I734" s="14">
        <f t="shared" si="35"/>
        <v>-136.00273972602739</v>
      </c>
      <c r="J734" s="15" t="s">
        <v>1561</v>
      </c>
      <c r="P734">
        <v>300</v>
      </c>
      <c r="Q734" s="17">
        <v>300</v>
      </c>
      <c r="R734" s="16">
        <f>1000/Q734</f>
        <v>3.3333333333333335</v>
      </c>
      <c r="S734" s="16">
        <f>8.33*R734</f>
        <v>27.766666666666669</v>
      </c>
      <c r="T734" s="16">
        <f>S734*1.33</f>
        <v>36.92966666666667</v>
      </c>
    </row>
    <row r="735" spans="1:36" x14ac:dyDescent="0.2">
      <c r="A735">
        <v>-136</v>
      </c>
      <c r="B735" s="10" t="s">
        <v>75</v>
      </c>
      <c r="C735" s="11" t="s">
        <v>45</v>
      </c>
      <c r="D735" s="15" t="s">
        <v>1562</v>
      </c>
      <c r="E735" s="13">
        <v>9</v>
      </c>
      <c r="F735" s="13">
        <v>1</v>
      </c>
      <c r="G735" s="13">
        <f t="shared" si="34"/>
        <v>0</v>
      </c>
      <c r="H735" s="13">
        <v>136</v>
      </c>
      <c r="I735" s="14">
        <f t="shared" si="35"/>
        <v>-135.97534246575341</v>
      </c>
      <c r="J735" s="15" t="s">
        <v>1563</v>
      </c>
      <c r="K735" s="10">
        <v>57</v>
      </c>
      <c r="L735" s="16">
        <v>57</v>
      </c>
      <c r="M735" s="16">
        <v>17.54</v>
      </c>
      <c r="N735" s="16">
        <v>146.13999999999999</v>
      </c>
      <c r="O735" s="16">
        <v>235.72</v>
      </c>
    </row>
    <row r="736" spans="1:36" x14ac:dyDescent="0.2">
      <c r="A736">
        <v>-136</v>
      </c>
      <c r="B736" s="10" t="s">
        <v>83</v>
      </c>
      <c r="C736" s="11" t="s">
        <v>39</v>
      </c>
      <c r="D736" s="15" t="s">
        <v>1564</v>
      </c>
      <c r="E736" s="13">
        <v>19</v>
      </c>
      <c r="F736" s="13">
        <v>1</v>
      </c>
      <c r="G736" s="13">
        <f t="shared" si="34"/>
        <v>0</v>
      </c>
      <c r="H736" s="13">
        <v>136</v>
      </c>
      <c r="I736" s="14">
        <f t="shared" si="35"/>
        <v>-135.94794520547944</v>
      </c>
      <c r="J736" s="15" t="s">
        <v>1565</v>
      </c>
      <c r="K736" s="10">
        <v>54</v>
      </c>
      <c r="L736" s="16">
        <v>54</v>
      </c>
      <c r="M736" s="16">
        <f>1000/L736</f>
        <v>18.518518518518519</v>
      </c>
      <c r="N736" s="16">
        <f>8.33*M736</f>
        <v>154.25925925925927</v>
      </c>
      <c r="O736" s="16">
        <f>1.613*N736</f>
        <v>248.82018518518518</v>
      </c>
      <c r="U736">
        <v>540</v>
      </c>
      <c r="V736" s="17">
        <v>540</v>
      </c>
      <c r="W736" s="16">
        <f>1000/V736</f>
        <v>1.8518518518518519</v>
      </c>
      <c r="X736" s="16">
        <f>8.33*W736</f>
        <v>15.425925925925926</v>
      </c>
    </row>
    <row r="737" spans="1:36" x14ac:dyDescent="0.2">
      <c r="A737">
        <v>-136</v>
      </c>
      <c r="B737" s="10" t="s">
        <v>83</v>
      </c>
      <c r="C737" s="11" t="s">
        <v>42</v>
      </c>
      <c r="D737" s="15" t="s">
        <v>1566</v>
      </c>
      <c r="E737" s="13">
        <v>29</v>
      </c>
      <c r="F737" s="13">
        <v>1</v>
      </c>
      <c r="G737" s="13">
        <f t="shared" si="34"/>
        <v>0</v>
      </c>
      <c r="H737" s="13">
        <v>136</v>
      </c>
      <c r="I737" s="14">
        <f t="shared" si="35"/>
        <v>-135.92054794520547</v>
      </c>
      <c r="J737" s="15" t="s">
        <v>1567</v>
      </c>
      <c r="V737" s="20"/>
    </row>
    <row r="738" spans="1:36" x14ac:dyDescent="0.2">
      <c r="A738">
        <v>-136</v>
      </c>
      <c r="B738" s="10" t="s">
        <v>83</v>
      </c>
      <c r="C738" s="11" t="s">
        <v>45</v>
      </c>
      <c r="D738" s="15" t="s">
        <v>1568</v>
      </c>
      <c r="E738" s="13">
        <v>8</v>
      </c>
      <c r="F738" s="13">
        <v>2</v>
      </c>
      <c r="G738" s="13">
        <f t="shared" si="34"/>
        <v>31</v>
      </c>
      <c r="H738" s="13">
        <v>136</v>
      </c>
      <c r="I738" s="14">
        <f t="shared" si="35"/>
        <v>-135.8931506849315</v>
      </c>
      <c r="J738" s="15" t="s">
        <v>1569</v>
      </c>
      <c r="K738" s="10">
        <v>52.5</v>
      </c>
      <c r="L738" s="16">
        <v>52.5</v>
      </c>
      <c r="M738" s="16">
        <f>1000/L738</f>
        <v>19.047619047619047</v>
      </c>
      <c r="N738" s="16">
        <f>8.33*M738</f>
        <v>158.66666666666666</v>
      </c>
      <c r="O738" s="16">
        <f>1.613*N738</f>
        <v>255.92933333333332</v>
      </c>
      <c r="U738">
        <v>720</v>
      </c>
      <c r="V738" s="17">
        <v>720</v>
      </c>
      <c r="W738" s="16">
        <f>1000/V738</f>
        <v>1.3888888888888888</v>
      </c>
      <c r="X738" s="16">
        <f>8.33*W738</f>
        <v>11.569444444444445</v>
      </c>
    </row>
    <row r="739" spans="1:36" x14ac:dyDescent="0.2">
      <c r="A739">
        <v>-136</v>
      </c>
      <c r="B739" s="10" t="s">
        <v>1570</v>
      </c>
      <c r="C739" s="11" t="s">
        <v>1571</v>
      </c>
      <c r="D739" s="7" t="s">
        <v>1572</v>
      </c>
      <c r="E739" s="13">
        <v>15</v>
      </c>
      <c r="F739" s="13">
        <v>2</v>
      </c>
      <c r="G739" s="13">
        <f t="shared" si="34"/>
        <v>31</v>
      </c>
      <c r="H739" s="13">
        <v>136</v>
      </c>
      <c r="I739" s="14">
        <f t="shared" si="35"/>
        <v>-135.87397260273971</v>
      </c>
      <c r="J739" s="7" t="s">
        <v>1569</v>
      </c>
      <c r="P739">
        <v>252</v>
      </c>
      <c r="Q739" s="17">
        <v>252</v>
      </c>
      <c r="R739" s="16">
        <f>1000/Q739</f>
        <v>3.9682539682539684</v>
      </c>
      <c r="S739" s="16">
        <f>8.33*R739</f>
        <v>33.055555555555557</v>
      </c>
      <c r="T739" s="16">
        <f>S739*1.33</f>
        <v>43.963888888888896</v>
      </c>
    </row>
    <row r="740" spans="1:36" x14ac:dyDescent="0.2">
      <c r="A740">
        <v>-136</v>
      </c>
      <c r="B740" s="10" t="s">
        <v>162</v>
      </c>
      <c r="D740" s="15" t="s">
        <v>1573</v>
      </c>
      <c r="E740" s="13">
        <v>18</v>
      </c>
      <c r="F740" s="13">
        <v>3</v>
      </c>
      <c r="G740" s="13">
        <f t="shared" si="34"/>
        <v>59</v>
      </c>
      <c r="H740" s="13">
        <v>136</v>
      </c>
      <c r="I740" s="14">
        <f t="shared" si="35"/>
        <v>-135.78904109589041</v>
      </c>
      <c r="J740" s="15" t="s">
        <v>1574</v>
      </c>
      <c r="T740" s="8"/>
      <c r="U740" s="1">
        <v>720</v>
      </c>
      <c r="V740" s="9">
        <v>720</v>
      </c>
      <c r="W740" s="8">
        <f>1000/V740</f>
        <v>1.3888888888888888</v>
      </c>
      <c r="X740" s="8">
        <f>8.33*W740</f>
        <v>11.569444444444445</v>
      </c>
      <c r="Y740" s="1">
        <v>27</v>
      </c>
      <c r="Z740" s="9">
        <v>27</v>
      </c>
      <c r="AA740" s="8">
        <f>1000/Z740</f>
        <v>37.037037037037038</v>
      </c>
      <c r="AB740" s="8">
        <f>8.33*AA740</f>
        <v>308.51851851851853</v>
      </c>
      <c r="AC740" s="1">
        <v>10</v>
      </c>
      <c r="AD740" s="9">
        <v>10</v>
      </c>
      <c r="AE740" s="8">
        <f>1000/AD740</f>
        <v>100</v>
      </c>
      <c r="AF740" s="8">
        <f>8.33*AE740</f>
        <v>833</v>
      </c>
      <c r="AG740" s="1">
        <v>2</v>
      </c>
      <c r="AH740" s="9">
        <v>2</v>
      </c>
      <c r="AI740" s="8">
        <f>1/AH740</f>
        <v>0.5</v>
      </c>
      <c r="AJ740" s="8">
        <f>8.33*AI740</f>
        <v>4.165</v>
      </c>
    </row>
    <row r="741" spans="1:36" x14ac:dyDescent="0.2">
      <c r="A741">
        <v>-134</v>
      </c>
      <c r="B741" s="10" t="s">
        <v>457</v>
      </c>
      <c r="C741" s="11" t="s">
        <v>39</v>
      </c>
      <c r="D741" s="15" t="s">
        <v>1575</v>
      </c>
      <c r="E741" s="13">
        <v>1</v>
      </c>
      <c r="F741" s="13">
        <v>9</v>
      </c>
      <c r="G741" s="13">
        <f t="shared" si="34"/>
        <v>243</v>
      </c>
      <c r="H741" s="13">
        <v>135</v>
      </c>
      <c r="I741" s="14">
        <f t="shared" si="35"/>
        <v>-134.33150684931508</v>
      </c>
      <c r="J741" s="15" t="s">
        <v>1576</v>
      </c>
      <c r="K741" s="10">
        <v>99</v>
      </c>
      <c r="L741" s="19">
        <v>99</v>
      </c>
      <c r="M741" s="19">
        <f>1000/L741</f>
        <v>10.1010101010101</v>
      </c>
      <c r="N741" s="19">
        <f>8.33*M741</f>
        <v>84.141414141414131</v>
      </c>
      <c r="O741" s="19">
        <f>1.613*N741</f>
        <v>135.72010101010099</v>
      </c>
      <c r="T741" s="8"/>
    </row>
    <row r="742" spans="1:36" x14ac:dyDescent="0.2">
      <c r="A742">
        <v>-134</v>
      </c>
      <c r="B742" s="10" t="s">
        <v>457</v>
      </c>
      <c r="C742" s="11" t="s">
        <v>42</v>
      </c>
      <c r="D742" s="15" t="s">
        <v>1577</v>
      </c>
      <c r="E742" s="13">
        <v>11</v>
      </c>
      <c r="F742" s="13">
        <v>9</v>
      </c>
      <c r="G742" s="13">
        <f t="shared" si="34"/>
        <v>243</v>
      </c>
      <c r="H742" s="13">
        <v>135</v>
      </c>
      <c r="I742" s="14">
        <f t="shared" si="35"/>
        <v>-134.3041095890411</v>
      </c>
      <c r="J742" s="15" t="s">
        <v>1578</v>
      </c>
      <c r="L742" s="19">
        <v>99</v>
      </c>
      <c r="M742" s="19">
        <v>10.1</v>
      </c>
      <c r="N742" s="19">
        <v>84.14</v>
      </c>
      <c r="O742" s="19">
        <v>135.72</v>
      </c>
      <c r="T742" s="8"/>
    </row>
    <row r="743" spans="1:36" x14ac:dyDescent="0.2">
      <c r="A743">
        <v>-134</v>
      </c>
      <c r="B743" s="10" t="s">
        <v>457</v>
      </c>
      <c r="C743" s="11" t="s">
        <v>45</v>
      </c>
      <c r="D743" s="15" t="s">
        <v>1579</v>
      </c>
      <c r="E743" s="13">
        <v>21</v>
      </c>
      <c r="F743" s="13">
        <v>9</v>
      </c>
      <c r="G743" s="13">
        <f t="shared" si="34"/>
        <v>243</v>
      </c>
      <c r="H743" s="13">
        <v>135</v>
      </c>
      <c r="I743" s="14">
        <f t="shared" si="35"/>
        <v>-134.27671232876713</v>
      </c>
      <c r="J743" s="15" t="s">
        <v>1580</v>
      </c>
      <c r="K743" s="10" t="s">
        <v>526</v>
      </c>
      <c r="L743" s="19"/>
      <c r="T743" s="8"/>
    </row>
    <row r="744" spans="1:36" x14ac:dyDescent="0.2">
      <c r="A744">
        <v>-134</v>
      </c>
      <c r="B744" s="10" t="s">
        <v>91</v>
      </c>
      <c r="D744" s="15" t="s">
        <v>1581</v>
      </c>
      <c r="E744" s="13">
        <v>1</v>
      </c>
      <c r="F744" s="13">
        <v>10</v>
      </c>
      <c r="G744" s="13">
        <f t="shared" si="34"/>
        <v>273</v>
      </c>
      <c r="H744" s="13">
        <v>135</v>
      </c>
      <c r="I744" s="14">
        <f t="shared" si="35"/>
        <v>-134.24931506849316</v>
      </c>
      <c r="J744" s="15" t="s">
        <v>1582</v>
      </c>
      <c r="T744" s="8"/>
      <c r="Y744" s="1">
        <v>60</v>
      </c>
      <c r="Z744" s="9">
        <v>60</v>
      </c>
      <c r="AA744" s="8">
        <f>1000/Z744</f>
        <v>16.666666666666668</v>
      </c>
      <c r="AB744" s="8">
        <f>8.33*AA744</f>
        <v>138.83333333333334</v>
      </c>
      <c r="AC744" s="1">
        <v>15</v>
      </c>
      <c r="AD744" s="9">
        <v>15</v>
      </c>
      <c r="AE744" s="8">
        <f>1000/AD744</f>
        <v>66.666666666666671</v>
      </c>
      <c r="AF744" s="8">
        <f>8.33*AE744</f>
        <v>555.33333333333337</v>
      </c>
      <c r="AG744" s="1">
        <v>2</v>
      </c>
      <c r="AH744" s="9">
        <v>2</v>
      </c>
      <c r="AI744" s="8">
        <f>1/AH744</f>
        <v>0.5</v>
      </c>
      <c r="AJ744" s="8">
        <f>8.33*AI744</f>
        <v>4.165</v>
      </c>
    </row>
    <row r="745" spans="1:36" x14ac:dyDescent="0.2">
      <c r="A745">
        <v>-134</v>
      </c>
      <c r="B745" s="10" t="s">
        <v>120</v>
      </c>
      <c r="C745" s="11" t="s">
        <v>39</v>
      </c>
      <c r="D745" s="15" t="s">
        <v>1581</v>
      </c>
      <c r="E745" s="13">
        <v>1</v>
      </c>
      <c r="F745" s="13">
        <v>10</v>
      </c>
      <c r="G745" s="13">
        <f t="shared" si="34"/>
        <v>273</v>
      </c>
      <c r="H745" s="13">
        <v>135</v>
      </c>
      <c r="I745" s="14">
        <f t="shared" si="35"/>
        <v>-134.24931506849316</v>
      </c>
      <c r="J745" s="15" t="s">
        <v>1583</v>
      </c>
      <c r="K745" s="10">
        <v>96</v>
      </c>
      <c r="L745" s="16">
        <v>96</v>
      </c>
      <c r="M745" s="16">
        <f>1000/L745</f>
        <v>10.416666666666666</v>
      </c>
      <c r="N745" s="16">
        <f>8.33*M745</f>
        <v>86.770833333333329</v>
      </c>
      <c r="O745" s="16">
        <f>1.613*N745</f>
        <v>139.96135416666667</v>
      </c>
      <c r="P745">
        <v>300</v>
      </c>
      <c r="Q745" s="17">
        <v>300</v>
      </c>
      <c r="R745" s="16">
        <f>1000/Q745</f>
        <v>3.3333333333333335</v>
      </c>
      <c r="S745" s="16">
        <f>8.33*R745</f>
        <v>27.766666666666669</v>
      </c>
      <c r="T745" s="16">
        <f>S745*1.33</f>
        <v>36.92966666666667</v>
      </c>
    </row>
    <row r="746" spans="1:36" x14ac:dyDescent="0.2">
      <c r="A746">
        <v>-134</v>
      </c>
      <c r="B746" s="10" t="s">
        <v>120</v>
      </c>
      <c r="C746" s="11" t="s">
        <v>42</v>
      </c>
      <c r="D746" s="15" t="s">
        <v>1584</v>
      </c>
      <c r="E746" s="13">
        <v>11</v>
      </c>
      <c r="F746" s="13">
        <v>10</v>
      </c>
      <c r="G746" s="13">
        <f t="shared" si="34"/>
        <v>273</v>
      </c>
      <c r="H746" s="13">
        <v>135</v>
      </c>
      <c r="I746" s="14">
        <f t="shared" si="35"/>
        <v>-134.22191780821919</v>
      </c>
      <c r="J746" s="15" t="s">
        <v>1585</v>
      </c>
      <c r="T746" s="8"/>
    </row>
    <row r="747" spans="1:36" x14ac:dyDescent="0.2">
      <c r="A747">
        <v>-134</v>
      </c>
      <c r="B747" s="10" t="s">
        <v>120</v>
      </c>
      <c r="C747" s="11" t="s">
        <v>45</v>
      </c>
      <c r="D747" s="15" t="s">
        <v>1586</v>
      </c>
      <c r="E747" s="13">
        <v>21</v>
      </c>
      <c r="F747" s="13">
        <v>10</v>
      </c>
      <c r="G747" s="13">
        <f t="shared" si="34"/>
        <v>273</v>
      </c>
      <c r="H747" s="13">
        <v>135</v>
      </c>
      <c r="I747" s="14">
        <f t="shared" si="35"/>
        <v>-134.19452054794522</v>
      </c>
      <c r="J747" s="15" t="s">
        <v>1582</v>
      </c>
      <c r="K747" s="10">
        <v>99</v>
      </c>
      <c r="L747" s="16">
        <v>99</v>
      </c>
      <c r="M747" s="16">
        <f>1000/L747</f>
        <v>10.1010101010101</v>
      </c>
      <c r="N747" s="16">
        <f>8.33*M747</f>
        <v>84.141414141414131</v>
      </c>
      <c r="O747" s="16">
        <f>1.613*N747</f>
        <v>135.72010101010099</v>
      </c>
      <c r="P747" t="s">
        <v>41</v>
      </c>
      <c r="T747" s="8"/>
    </row>
    <row r="748" spans="1:36" x14ac:dyDescent="0.2">
      <c r="A748">
        <v>-134</v>
      </c>
      <c r="B748" s="10" t="s">
        <v>83</v>
      </c>
      <c r="D748" s="15" t="s">
        <v>1587</v>
      </c>
      <c r="E748" s="13">
        <v>27</v>
      </c>
      <c r="F748" s="13">
        <v>1</v>
      </c>
      <c r="G748" s="13">
        <f t="shared" si="34"/>
        <v>0</v>
      </c>
      <c r="H748" s="13">
        <v>134</v>
      </c>
      <c r="I748" s="14">
        <f t="shared" si="35"/>
        <v>-133.92602739726027</v>
      </c>
      <c r="J748" s="15" t="s">
        <v>1588</v>
      </c>
      <c r="T748" s="8"/>
      <c r="AG748" s="1">
        <v>2</v>
      </c>
      <c r="AH748" s="9">
        <v>2</v>
      </c>
      <c r="AI748" s="8">
        <v>0.5</v>
      </c>
      <c r="AJ748" s="8">
        <v>4.17</v>
      </c>
    </row>
    <row r="749" spans="1:36" x14ac:dyDescent="0.2">
      <c r="A749">
        <v>-134</v>
      </c>
      <c r="B749" s="10" t="s">
        <v>83</v>
      </c>
      <c r="C749" s="11" t="s">
        <v>39</v>
      </c>
      <c r="D749" s="15" t="s">
        <v>1587</v>
      </c>
      <c r="E749" s="13">
        <v>27</v>
      </c>
      <c r="F749" s="13">
        <v>1</v>
      </c>
      <c r="G749" s="13">
        <f t="shared" si="34"/>
        <v>0</v>
      </c>
      <c r="H749" s="13">
        <v>134</v>
      </c>
      <c r="I749" s="14">
        <f t="shared" si="35"/>
        <v>-133.92602739726027</v>
      </c>
      <c r="J749" s="15" t="s">
        <v>1589</v>
      </c>
      <c r="T749" s="8"/>
      <c r="AI749" s="16"/>
      <c r="AJ749" s="16"/>
    </row>
    <row r="750" spans="1:36" x14ac:dyDescent="0.2">
      <c r="A750">
        <v>-134</v>
      </c>
      <c r="B750" s="10" t="s">
        <v>83</v>
      </c>
      <c r="C750" s="11" t="s">
        <v>42</v>
      </c>
      <c r="D750" s="15" t="s">
        <v>1590</v>
      </c>
      <c r="E750" s="13">
        <v>6</v>
      </c>
      <c r="F750" s="13">
        <v>2</v>
      </c>
      <c r="G750" s="13">
        <f t="shared" si="34"/>
        <v>31</v>
      </c>
      <c r="H750" s="13">
        <v>134</v>
      </c>
      <c r="I750" s="14">
        <f t="shared" si="35"/>
        <v>-133.8986301369863</v>
      </c>
      <c r="J750" s="15" t="s">
        <v>1591</v>
      </c>
      <c r="P750">
        <v>405</v>
      </c>
      <c r="Q750" s="17">
        <v>405</v>
      </c>
      <c r="R750" s="16">
        <f>1000/Q750</f>
        <v>2.4691358024691357</v>
      </c>
      <c r="S750" s="16">
        <f>8.33*R750</f>
        <v>20.567901234567902</v>
      </c>
      <c r="T750" s="16">
        <f>S750*1.33</f>
        <v>27.355308641975313</v>
      </c>
      <c r="AI750" s="16"/>
      <c r="AJ750" s="16"/>
    </row>
    <row r="751" spans="1:36" x14ac:dyDescent="0.2">
      <c r="A751">
        <v>-134</v>
      </c>
      <c r="B751" s="10" t="s">
        <v>83</v>
      </c>
      <c r="C751" s="11" t="s">
        <v>45</v>
      </c>
      <c r="D751" s="15" t="s">
        <v>1592</v>
      </c>
      <c r="E751" s="13">
        <v>16</v>
      </c>
      <c r="F751" s="13">
        <v>2</v>
      </c>
      <c r="G751" s="13">
        <f t="shared" si="34"/>
        <v>31</v>
      </c>
      <c r="H751" s="13">
        <v>134</v>
      </c>
      <c r="I751" s="14">
        <f t="shared" si="35"/>
        <v>-133.87123287671233</v>
      </c>
      <c r="J751" s="15" t="s">
        <v>1588</v>
      </c>
      <c r="P751" t="s">
        <v>1593</v>
      </c>
      <c r="Q751" s="20">
        <v>411</v>
      </c>
      <c r="R751" s="19">
        <f>1000/Q751</f>
        <v>2.4330900243309004</v>
      </c>
      <c r="S751" s="19">
        <f>8.33*R751</f>
        <v>20.2676399026764</v>
      </c>
      <c r="T751" s="19">
        <f>S751*1.33</f>
        <v>26.955961070559614</v>
      </c>
      <c r="AI751" s="16"/>
      <c r="AJ751" s="16"/>
    </row>
    <row r="752" spans="1:36" x14ac:dyDescent="0.2">
      <c r="A752">
        <v>-134</v>
      </c>
      <c r="B752" s="10" t="s">
        <v>127</v>
      </c>
      <c r="D752" s="15" t="s">
        <v>1594</v>
      </c>
      <c r="E752" s="13">
        <v>26</v>
      </c>
      <c r="F752" s="13">
        <v>2</v>
      </c>
      <c r="G752" s="13">
        <f t="shared" si="34"/>
        <v>31</v>
      </c>
      <c r="H752" s="13">
        <v>134</v>
      </c>
      <c r="I752" s="14">
        <f t="shared" si="35"/>
        <v>-133.84383561643835</v>
      </c>
      <c r="J752" s="15" t="s">
        <v>1595</v>
      </c>
      <c r="AC752" s="1">
        <v>16</v>
      </c>
      <c r="AD752" s="9">
        <v>16</v>
      </c>
      <c r="AE752" s="8">
        <f>1000/AD752</f>
        <v>62.5</v>
      </c>
      <c r="AF752" s="8">
        <f>8.33*AE752</f>
        <v>520.625</v>
      </c>
      <c r="AG752" s="1" t="s">
        <v>1596</v>
      </c>
      <c r="AH752" s="21">
        <v>2</v>
      </c>
      <c r="AI752" s="22">
        <f>1/AH752</f>
        <v>0.5</v>
      </c>
      <c r="AJ752" s="22">
        <f>8.33*AI752</f>
        <v>4.165</v>
      </c>
    </row>
    <row r="753" spans="1:36" x14ac:dyDescent="0.2">
      <c r="A753">
        <v>-134</v>
      </c>
      <c r="B753" s="10" t="s">
        <v>185</v>
      </c>
      <c r="C753" s="11" t="s">
        <v>39</v>
      </c>
      <c r="D753" s="15" t="s">
        <v>1594</v>
      </c>
      <c r="E753" s="13">
        <v>26</v>
      </c>
      <c r="F753" s="13">
        <v>2</v>
      </c>
      <c r="G753" s="13">
        <f t="shared" si="34"/>
        <v>31</v>
      </c>
      <c r="H753" s="13">
        <v>134</v>
      </c>
      <c r="I753" s="14">
        <f t="shared" si="35"/>
        <v>-133.84383561643835</v>
      </c>
      <c r="J753" s="15" t="s">
        <v>1597</v>
      </c>
      <c r="K753" s="10">
        <v>102</v>
      </c>
      <c r="L753" s="16">
        <v>102</v>
      </c>
      <c r="M753" s="16">
        <f>1000/L753</f>
        <v>9.8039215686274517</v>
      </c>
      <c r="N753" s="16">
        <f>8.33*M753</f>
        <v>81.666666666666671</v>
      </c>
      <c r="O753" s="16">
        <f>1.613*N753</f>
        <v>131.72833333333335</v>
      </c>
      <c r="P753">
        <v>420</v>
      </c>
      <c r="Q753" s="17">
        <v>420</v>
      </c>
      <c r="R753" s="16">
        <f>1000/Q753</f>
        <v>2.3809523809523809</v>
      </c>
      <c r="S753" s="16">
        <f>8.33*R753</f>
        <v>19.833333333333332</v>
      </c>
      <c r="T753" s="16">
        <f>S753*1.33</f>
        <v>26.378333333333334</v>
      </c>
      <c r="AH753" s="9"/>
    </row>
    <row r="754" spans="1:36" x14ac:dyDescent="0.2">
      <c r="A754">
        <v>-134</v>
      </c>
      <c r="B754" s="10" t="s">
        <v>1340</v>
      </c>
      <c r="C754" s="11" t="s">
        <v>42</v>
      </c>
      <c r="D754" s="15" t="s">
        <v>1598</v>
      </c>
      <c r="E754" s="13">
        <v>8</v>
      </c>
      <c r="F754" s="13">
        <v>3</v>
      </c>
      <c r="G754" s="13">
        <f t="shared" si="34"/>
        <v>59</v>
      </c>
      <c r="H754" s="13">
        <v>134</v>
      </c>
      <c r="I754" s="14">
        <f t="shared" si="35"/>
        <v>-133.81643835616438</v>
      </c>
      <c r="J754" s="15" t="s">
        <v>1599</v>
      </c>
      <c r="K754" s="10" t="s">
        <v>1142</v>
      </c>
      <c r="P754" t="s">
        <v>1600</v>
      </c>
      <c r="Q754" s="20">
        <v>423</v>
      </c>
      <c r="R754" s="19">
        <f>1000/Q754</f>
        <v>2.3640661938534278</v>
      </c>
      <c r="S754" s="19">
        <f>8.33*R754</f>
        <v>19.692671394799053</v>
      </c>
      <c r="T754" s="16">
        <f>S754*1.33</f>
        <v>26.191252955082742</v>
      </c>
    </row>
    <row r="755" spans="1:36" x14ac:dyDescent="0.2">
      <c r="A755">
        <v>-134</v>
      </c>
      <c r="B755" s="10" t="s">
        <v>1340</v>
      </c>
      <c r="C755" s="11" t="s">
        <v>45</v>
      </c>
      <c r="D755" s="15" t="s">
        <v>1601</v>
      </c>
      <c r="E755" s="13">
        <v>18</v>
      </c>
      <c r="F755" s="13">
        <v>3</v>
      </c>
      <c r="G755" s="13">
        <f t="shared" si="34"/>
        <v>59</v>
      </c>
      <c r="H755" s="13">
        <v>134</v>
      </c>
      <c r="I755" s="14">
        <f t="shared" si="35"/>
        <v>-133.78904109589041</v>
      </c>
      <c r="J755" s="15" t="s">
        <v>1602</v>
      </c>
    </row>
    <row r="756" spans="1:36" x14ac:dyDescent="0.2">
      <c r="A756">
        <v>-133</v>
      </c>
      <c r="B756" s="10" t="s">
        <v>83</v>
      </c>
      <c r="D756" s="15" t="s">
        <v>1603</v>
      </c>
      <c r="E756" s="13">
        <v>17</v>
      </c>
      <c r="F756" s="13">
        <v>1</v>
      </c>
      <c r="G756" s="13">
        <f t="shared" si="34"/>
        <v>0</v>
      </c>
      <c r="H756" s="13">
        <v>133</v>
      </c>
      <c r="I756" s="14">
        <f t="shared" si="35"/>
        <v>-132.95342465753424</v>
      </c>
      <c r="J756" s="15" t="s">
        <v>1604</v>
      </c>
      <c r="AG756" s="1">
        <v>1.67</v>
      </c>
      <c r="AH756" s="9">
        <v>1.67</v>
      </c>
      <c r="AI756" s="8">
        <f>1/AH756</f>
        <v>0.5988023952095809</v>
      </c>
      <c r="AJ756" s="8">
        <f>8.33*AI756</f>
        <v>4.9880239520958085</v>
      </c>
    </row>
    <row r="757" spans="1:36" x14ac:dyDescent="0.2">
      <c r="A757">
        <v>-133</v>
      </c>
      <c r="B757" s="10" t="s">
        <v>1570</v>
      </c>
      <c r="C757" s="11" t="s">
        <v>39</v>
      </c>
      <c r="D757" s="15" t="s">
        <v>1603</v>
      </c>
      <c r="E757" s="13">
        <v>17</v>
      </c>
      <c r="F757" s="13">
        <v>1</v>
      </c>
      <c r="G757" s="13">
        <f t="shared" si="34"/>
        <v>0</v>
      </c>
      <c r="H757" s="13">
        <v>133</v>
      </c>
      <c r="I757" s="14">
        <f t="shared" si="35"/>
        <v>-132.95342465753424</v>
      </c>
      <c r="J757" s="15" t="s">
        <v>1605</v>
      </c>
    </row>
    <row r="758" spans="1:36" x14ac:dyDescent="0.2">
      <c r="A758">
        <v>-133</v>
      </c>
      <c r="B758" s="10" t="s">
        <v>1570</v>
      </c>
      <c r="C758" s="11" t="s">
        <v>1606</v>
      </c>
      <c r="D758" s="7" t="s">
        <v>1603</v>
      </c>
      <c r="E758" s="13">
        <v>17</v>
      </c>
      <c r="F758" s="13">
        <v>1</v>
      </c>
      <c r="G758" s="13">
        <f t="shared" si="34"/>
        <v>0</v>
      </c>
      <c r="H758" s="13">
        <v>133</v>
      </c>
      <c r="I758" s="14">
        <f t="shared" si="35"/>
        <v>-132.95342465753424</v>
      </c>
      <c r="J758" s="7" t="s">
        <v>1607</v>
      </c>
      <c r="P758">
        <v>342</v>
      </c>
      <c r="Q758" s="17">
        <v>342</v>
      </c>
      <c r="R758" s="16">
        <f>1000/Q758</f>
        <v>2.9239766081871346</v>
      </c>
      <c r="S758" s="16">
        <f>8.33*R758</f>
        <v>24.35672514619883</v>
      </c>
      <c r="T758" s="16">
        <f>S758*1.33</f>
        <v>32.394444444444446</v>
      </c>
    </row>
    <row r="759" spans="1:36" x14ac:dyDescent="0.2">
      <c r="A759">
        <v>-133</v>
      </c>
      <c r="B759" s="10" t="s">
        <v>1570</v>
      </c>
      <c r="C759" s="11" t="s">
        <v>1608</v>
      </c>
      <c r="D759" s="7" t="s">
        <v>1609</v>
      </c>
      <c r="E759" s="13">
        <v>22</v>
      </c>
      <c r="F759" s="13">
        <v>1</v>
      </c>
      <c r="G759" s="13">
        <f t="shared" si="34"/>
        <v>0</v>
      </c>
      <c r="H759" s="13">
        <v>133</v>
      </c>
      <c r="I759" s="14">
        <f t="shared" si="35"/>
        <v>-132.93972602739726</v>
      </c>
      <c r="J759" s="7" t="s">
        <v>1610</v>
      </c>
      <c r="P759">
        <v>324</v>
      </c>
      <c r="Q759" s="17">
        <v>324</v>
      </c>
      <c r="R759" s="16">
        <f>1000/Q759</f>
        <v>3.0864197530864197</v>
      </c>
      <c r="S759" s="16">
        <f>8.33*R759</f>
        <v>25.709876543209877</v>
      </c>
      <c r="T759" s="16">
        <f>S759*1.33</f>
        <v>34.194135802469141</v>
      </c>
    </row>
    <row r="760" spans="1:36" x14ac:dyDescent="0.2">
      <c r="A760">
        <v>-133</v>
      </c>
      <c r="B760" s="10" t="s">
        <v>83</v>
      </c>
      <c r="C760" s="11" t="s">
        <v>1611</v>
      </c>
      <c r="D760" s="7" t="s">
        <v>1605</v>
      </c>
      <c r="E760" s="13">
        <v>26</v>
      </c>
      <c r="F760" s="13">
        <v>1</v>
      </c>
      <c r="G760" s="13">
        <f t="shared" si="34"/>
        <v>0</v>
      </c>
      <c r="H760" s="13">
        <v>133</v>
      </c>
      <c r="I760" s="14">
        <f t="shared" si="35"/>
        <v>-132.92876712328768</v>
      </c>
      <c r="J760" s="7" t="s">
        <v>1612</v>
      </c>
      <c r="P760" t="s">
        <v>1613</v>
      </c>
      <c r="Q760" s="17">
        <v>288</v>
      </c>
      <c r="R760" s="16">
        <f>1000/Q760</f>
        <v>3.4722222222222223</v>
      </c>
      <c r="S760" s="16">
        <f>8.33*R760</f>
        <v>28.923611111111111</v>
      </c>
      <c r="T760" s="16">
        <f>S760*1.33</f>
        <v>38.468402777777783</v>
      </c>
    </row>
    <row r="761" spans="1:36" x14ac:dyDescent="0.2">
      <c r="A761">
        <v>-133</v>
      </c>
      <c r="B761" s="10" t="s">
        <v>1570</v>
      </c>
      <c r="C761" s="11" t="s">
        <v>42</v>
      </c>
      <c r="D761" s="15" t="s">
        <v>1614</v>
      </c>
      <c r="E761" s="13">
        <v>27</v>
      </c>
      <c r="F761" s="13">
        <v>1</v>
      </c>
      <c r="G761" s="13">
        <f t="shared" si="34"/>
        <v>0</v>
      </c>
      <c r="H761" s="13">
        <v>133</v>
      </c>
      <c r="I761" s="14">
        <f t="shared" si="35"/>
        <v>-132.92602739726027</v>
      </c>
      <c r="J761" s="15" t="s">
        <v>1615</v>
      </c>
      <c r="AC761">
        <v>24</v>
      </c>
      <c r="AD761" s="17">
        <v>24</v>
      </c>
      <c r="AE761" s="16">
        <f>1000/AD761</f>
        <v>41.666666666666664</v>
      </c>
      <c r="AF761" s="16">
        <f>8.33*AE761</f>
        <v>347.08333333333331</v>
      </c>
    </row>
    <row r="762" spans="1:36" x14ac:dyDescent="0.2">
      <c r="A762">
        <v>-133</v>
      </c>
      <c r="B762" s="10" t="s">
        <v>1570</v>
      </c>
      <c r="C762" s="11" t="s">
        <v>1616</v>
      </c>
      <c r="D762" s="7" t="s">
        <v>1617</v>
      </c>
      <c r="E762" s="13">
        <v>1</v>
      </c>
      <c r="F762" s="13">
        <v>2</v>
      </c>
      <c r="G762" s="13">
        <f t="shared" si="34"/>
        <v>31</v>
      </c>
      <c r="H762" s="13">
        <v>133</v>
      </c>
      <c r="I762" s="14">
        <f t="shared" si="35"/>
        <v>-132.91232876712328</v>
      </c>
      <c r="J762" s="7" t="s">
        <v>1615</v>
      </c>
      <c r="P762">
        <v>270</v>
      </c>
      <c r="Q762" s="17">
        <v>270</v>
      </c>
      <c r="R762" s="16">
        <f>1000/Q762</f>
        <v>3.7037037037037037</v>
      </c>
      <c r="S762" s="16">
        <f>8.33*R762</f>
        <v>30.851851851851851</v>
      </c>
      <c r="T762" s="16">
        <f>S762*1.33</f>
        <v>41.032962962962962</v>
      </c>
    </row>
    <row r="763" spans="1:36" x14ac:dyDescent="0.2">
      <c r="A763">
        <v>-133</v>
      </c>
      <c r="B763" s="10" t="s">
        <v>1570</v>
      </c>
      <c r="C763" s="11" t="s">
        <v>1618</v>
      </c>
      <c r="D763" s="7" t="s">
        <v>1619</v>
      </c>
      <c r="E763" s="13">
        <v>6</v>
      </c>
      <c r="F763" s="13">
        <v>2</v>
      </c>
      <c r="G763" s="13">
        <f t="shared" si="34"/>
        <v>31</v>
      </c>
      <c r="H763" s="13">
        <v>133</v>
      </c>
      <c r="I763" s="14">
        <f t="shared" si="35"/>
        <v>-132.8986301369863</v>
      </c>
      <c r="J763" s="7" t="s">
        <v>1620</v>
      </c>
      <c r="K763" s="10">
        <v>120</v>
      </c>
      <c r="L763" s="16">
        <v>120</v>
      </c>
      <c r="M763" s="16">
        <f>1000/L763</f>
        <v>8.3333333333333339</v>
      </c>
      <c r="N763" s="16">
        <f>8.33*M763</f>
        <v>69.416666666666671</v>
      </c>
      <c r="O763" s="16">
        <f>1.613*N763</f>
        <v>111.96908333333334</v>
      </c>
      <c r="P763">
        <v>252</v>
      </c>
      <c r="Q763" s="17">
        <v>252</v>
      </c>
      <c r="R763" s="16">
        <f>1000/Q763</f>
        <v>3.9682539682539684</v>
      </c>
      <c r="S763" s="16">
        <f>8.33*R763</f>
        <v>33.055555555555557</v>
      </c>
      <c r="T763" s="16">
        <f>S763*1.33</f>
        <v>43.963888888888896</v>
      </c>
    </row>
    <row r="764" spans="1:36" x14ac:dyDescent="0.2">
      <c r="A764">
        <v>-133</v>
      </c>
      <c r="B764" s="10" t="s">
        <v>1570</v>
      </c>
      <c r="C764" s="11">
        <v>27</v>
      </c>
      <c r="D764" s="7" t="s">
        <v>1621</v>
      </c>
      <c r="E764" s="13">
        <v>12</v>
      </c>
      <c r="F764" s="13">
        <v>2</v>
      </c>
      <c r="G764" s="13">
        <f t="shared" si="34"/>
        <v>31</v>
      </c>
      <c r="H764" s="13">
        <v>133</v>
      </c>
      <c r="I764" s="14">
        <f t="shared" si="35"/>
        <v>-132.88219178082193</v>
      </c>
      <c r="K764" s="10">
        <v>117</v>
      </c>
      <c r="L764" s="16">
        <v>117</v>
      </c>
      <c r="M764" s="16">
        <f>1000/L764</f>
        <v>8.5470085470085468</v>
      </c>
      <c r="N764" s="16">
        <f>8.33*M764</f>
        <v>71.196581196581192</v>
      </c>
      <c r="O764" s="16">
        <f>1.613*N764</f>
        <v>114.84008547008547</v>
      </c>
    </row>
    <row r="765" spans="1:36" x14ac:dyDescent="0.2">
      <c r="A765">
        <v>-133</v>
      </c>
      <c r="B765" s="10" t="s">
        <v>1570</v>
      </c>
      <c r="C765" s="11" t="s">
        <v>1622</v>
      </c>
      <c r="D765" s="7" t="s">
        <v>1621</v>
      </c>
      <c r="E765" s="13">
        <v>12</v>
      </c>
      <c r="F765" s="13">
        <v>2</v>
      </c>
      <c r="G765" s="13">
        <f t="shared" si="34"/>
        <v>31</v>
      </c>
      <c r="H765" s="13">
        <v>133</v>
      </c>
      <c r="I765" s="14">
        <f t="shared" si="35"/>
        <v>-132.88219178082193</v>
      </c>
      <c r="J765" s="7" t="s">
        <v>1604</v>
      </c>
      <c r="P765">
        <v>261</v>
      </c>
      <c r="Q765" s="17">
        <v>261</v>
      </c>
      <c r="R765" s="16">
        <f>1000/Q765</f>
        <v>3.8314176245210727</v>
      </c>
      <c r="S765" s="16">
        <f>8.33*R765</f>
        <v>31.915708812260537</v>
      </c>
      <c r="T765" s="16">
        <f>S765*1.33</f>
        <v>42.447892720306513</v>
      </c>
    </row>
    <row r="766" spans="1:36" x14ac:dyDescent="0.2">
      <c r="A766">
        <v>-133</v>
      </c>
      <c r="B766" s="10" t="s">
        <v>1570</v>
      </c>
      <c r="C766" s="11">
        <v>28</v>
      </c>
      <c r="D766" s="7" t="s">
        <v>1623</v>
      </c>
      <c r="E766" s="13">
        <v>13</v>
      </c>
      <c r="F766" s="13">
        <v>2</v>
      </c>
      <c r="G766" s="13">
        <f t="shared" si="34"/>
        <v>31</v>
      </c>
      <c r="H766" s="13">
        <v>133</v>
      </c>
      <c r="I766" s="14">
        <f t="shared" si="35"/>
        <v>-132.87945205479451</v>
      </c>
      <c r="K766" s="10">
        <v>114</v>
      </c>
      <c r="L766" s="16">
        <v>114</v>
      </c>
      <c r="M766" s="16">
        <f>1000/L766</f>
        <v>8.7719298245614041</v>
      </c>
      <c r="N766" s="16">
        <f>8.33*M766</f>
        <v>73.070175438596493</v>
      </c>
      <c r="O766" s="16">
        <f>1.613*N766</f>
        <v>117.86219298245614</v>
      </c>
      <c r="T766" s="8"/>
    </row>
    <row r="767" spans="1:36" x14ac:dyDescent="0.2">
      <c r="A767">
        <v>-133</v>
      </c>
      <c r="B767" s="10" t="s">
        <v>1570</v>
      </c>
      <c r="C767" s="11">
        <v>29</v>
      </c>
      <c r="D767" s="7" t="s">
        <v>1604</v>
      </c>
      <c r="E767" s="13">
        <v>14</v>
      </c>
      <c r="F767" s="13">
        <v>2</v>
      </c>
      <c r="G767" s="13">
        <f t="shared" si="34"/>
        <v>31</v>
      </c>
      <c r="H767" s="13">
        <v>133</v>
      </c>
      <c r="I767" s="14">
        <f t="shared" si="35"/>
        <v>-132.87671232876713</v>
      </c>
      <c r="K767" s="10">
        <v>108</v>
      </c>
      <c r="L767" s="16">
        <v>108</v>
      </c>
      <c r="M767" s="16">
        <f>1000/L767</f>
        <v>9.2592592592592595</v>
      </c>
      <c r="N767" s="16">
        <f>8.33*M767</f>
        <v>77.129629629629633</v>
      </c>
      <c r="O767" s="16">
        <f>1.613*N767</f>
        <v>124.41009259259259</v>
      </c>
      <c r="T767" s="8"/>
    </row>
    <row r="768" spans="1:36" x14ac:dyDescent="0.2">
      <c r="A768">
        <v>-133</v>
      </c>
      <c r="B768" s="10" t="s">
        <v>1570</v>
      </c>
      <c r="C768" s="11" t="s">
        <v>45</v>
      </c>
      <c r="D768" s="15" t="s">
        <v>1619</v>
      </c>
      <c r="E768" s="13">
        <v>6</v>
      </c>
      <c r="F768" s="13">
        <v>2</v>
      </c>
      <c r="G768" s="13">
        <f t="shared" si="34"/>
        <v>31</v>
      </c>
      <c r="H768" s="13">
        <v>133</v>
      </c>
      <c r="I768" s="14">
        <f t="shared" si="35"/>
        <v>-132.8986301369863</v>
      </c>
      <c r="J768" s="15" t="s">
        <v>1604</v>
      </c>
      <c r="T768" s="8"/>
      <c r="AC768">
        <v>22.5</v>
      </c>
      <c r="AD768" s="17">
        <v>22.5</v>
      </c>
      <c r="AE768" s="16">
        <f>1000/AD768</f>
        <v>44.444444444444443</v>
      </c>
      <c r="AF768" s="16">
        <f>8.33*AE768</f>
        <v>370.22222222222223</v>
      </c>
    </row>
    <row r="769" spans="1:37" x14ac:dyDescent="0.2">
      <c r="A769">
        <v>-133</v>
      </c>
      <c r="B769" s="10" t="s">
        <v>127</v>
      </c>
      <c r="D769" s="15" t="s">
        <v>1624</v>
      </c>
      <c r="E769" s="13">
        <v>15</v>
      </c>
      <c r="F769" s="13">
        <v>2</v>
      </c>
      <c r="G769" s="13">
        <f t="shared" si="34"/>
        <v>31</v>
      </c>
      <c r="H769" s="13">
        <v>133</v>
      </c>
      <c r="I769" s="14">
        <f t="shared" si="35"/>
        <v>-132.87397260273971</v>
      </c>
      <c r="J769" s="15" t="s">
        <v>1625</v>
      </c>
      <c r="T769" s="8"/>
      <c r="Y769" s="1">
        <v>79.5</v>
      </c>
      <c r="Z769" s="9">
        <v>79.5</v>
      </c>
      <c r="AA769" s="8">
        <f>1000/Z769</f>
        <v>12.578616352201259</v>
      </c>
      <c r="AB769" s="8">
        <f>8.33*AA769</f>
        <v>104.77987421383648</v>
      </c>
    </row>
    <row r="770" spans="1:37" x14ac:dyDescent="0.2">
      <c r="A770">
        <v>-133</v>
      </c>
      <c r="B770" s="10" t="s">
        <v>185</v>
      </c>
      <c r="C770" s="11" t="s">
        <v>39</v>
      </c>
      <c r="D770" s="15" t="s">
        <v>1624</v>
      </c>
      <c r="E770" s="13">
        <v>15</v>
      </c>
      <c r="F770" s="13">
        <v>2</v>
      </c>
      <c r="G770" s="13">
        <f t="shared" ref="G770:G833" si="36">INDEX(A$1502:A$1513,F770)</f>
        <v>31</v>
      </c>
      <c r="H770" s="13">
        <v>133</v>
      </c>
      <c r="I770" s="14">
        <f t="shared" si="35"/>
        <v>-132.87397260273971</v>
      </c>
      <c r="J770" s="15" t="s">
        <v>1626</v>
      </c>
      <c r="P770">
        <v>261</v>
      </c>
      <c r="Q770" s="17">
        <v>261</v>
      </c>
      <c r="R770" s="16">
        <f>1000/Q770</f>
        <v>3.8314176245210727</v>
      </c>
      <c r="S770" s="16">
        <f>8.33*R770</f>
        <v>31.915708812260537</v>
      </c>
      <c r="T770" s="16">
        <f>S770*1.33</f>
        <v>42.447892720306513</v>
      </c>
      <c r="U770" t="s">
        <v>1627</v>
      </c>
      <c r="V770" s="20">
        <v>540</v>
      </c>
      <c r="W770" s="19">
        <f>1000/V770</f>
        <v>1.8518518518518519</v>
      </c>
      <c r="X770" s="19">
        <f>8.33*W770</f>
        <v>15.425925925925926</v>
      </c>
    </row>
    <row r="771" spans="1:37" x14ac:dyDescent="0.2">
      <c r="A771">
        <v>-133</v>
      </c>
      <c r="B771" s="10" t="s">
        <v>185</v>
      </c>
      <c r="C771" s="11" t="s">
        <v>1628</v>
      </c>
      <c r="D771" s="7" t="s">
        <v>1624</v>
      </c>
      <c r="E771" s="13">
        <v>15</v>
      </c>
      <c r="F771" s="13">
        <v>2</v>
      </c>
      <c r="G771" s="13">
        <f t="shared" si="36"/>
        <v>31</v>
      </c>
      <c r="H771" s="13">
        <v>133</v>
      </c>
      <c r="I771" s="14">
        <f t="shared" ref="I771:I834" si="37">($E771+$G771)/365-$H771</f>
        <v>-132.87397260273971</v>
      </c>
      <c r="J771" s="7" t="s">
        <v>1629</v>
      </c>
      <c r="K771" s="23">
        <v>102</v>
      </c>
      <c r="L771" s="19">
        <v>102</v>
      </c>
      <c r="M771" s="19">
        <f>1000/L771</f>
        <v>9.8039215686274517</v>
      </c>
      <c r="N771" s="19">
        <f>8.33*M771</f>
        <v>81.666666666666671</v>
      </c>
      <c r="O771" s="19">
        <f>1.613*N771</f>
        <v>131.72833333333335</v>
      </c>
      <c r="T771" s="8"/>
    </row>
    <row r="772" spans="1:37" x14ac:dyDescent="0.2">
      <c r="A772">
        <v>-133</v>
      </c>
      <c r="B772" s="10" t="s">
        <v>127</v>
      </c>
      <c r="C772" s="11" t="s">
        <v>1630</v>
      </c>
      <c r="D772" s="7" t="s">
        <v>1631</v>
      </c>
      <c r="E772" s="13">
        <v>17</v>
      </c>
      <c r="F772" s="13">
        <v>2</v>
      </c>
      <c r="G772" s="13">
        <f t="shared" si="36"/>
        <v>31</v>
      </c>
      <c r="H772" s="13">
        <v>133</v>
      </c>
      <c r="I772" s="14">
        <f t="shared" si="37"/>
        <v>-132.86849315068494</v>
      </c>
      <c r="J772" s="7" t="s">
        <v>1632</v>
      </c>
      <c r="K772" s="10">
        <v>99</v>
      </c>
      <c r="L772" s="16">
        <v>99</v>
      </c>
      <c r="M772" s="16">
        <f>1000/L772</f>
        <v>10.1010101010101</v>
      </c>
      <c r="N772" s="16">
        <f>8.33*M772</f>
        <v>84.141414141414131</v>
      </c>
      <c r="O772" s="16">
        <f>1.613*N772</f>
        <v>135.72010101010099</v>
      </c>
      <c r="T772" s="8"/>
    </row>
    <row r="773" spans="1:37" x14ac:dyDescent="0.2">
      <c r="A773">
        <v>-133</v>
      </c>
      <c r="B773" s="10" t="s">
        <v>185</v>
      </c>
      <c r="C773" s="11" t="s">
        <v>1633</v>
      </c>
      <c r="D773" s="7" t="s">
        <v>1634</v>
      </c>
      <c r="E773" s="13">
        <v>19</v>
      </c>
      <c r="F773" s="13">
        <v>2</v>
      </c>
      <c r="G773" s="13">
        <f t="shared" si="36"/>
        <v>31</v>
      </c>
      <c r="H773" s="13">
        <v>133</v>
      </c>
      <c r="I773" s="14">
        <f t="shared" si="37"/>
        <v>-132.86301369863014</v>
      </c>
      <c r="J773" s="7" t="s">
        <v>1635</v>
      </c>
      <c r="K773" s="10">
        <v>108</v>
      </c>
      <c r="L773" s="16">
        <v>108</v>
      </c>
      <c r="M773" s="16">
        <f>1000/L773</f>
        <v>9.2592592592592595</v>
      </c>
      <c r="N773" s="16">
        <f>8.33*M773</f>
        <v>77.129629629629633</v>
      </c>
      <c r="O773" s="16">
        <f>1.613*N773</f>
        <v>124.41009259259259</v>
      </c>
      <c r="T773" s="8"/>
    </row>
    <row r="774" spans="1:37" x14ac:dyDescent="0.2">
      <c r="A774">
        <v>-133</v>
      </c>
      <c r="B774" s="10" t="s">
        <v>185</v>
      </c>
      <c r="C774" s="11" t="s">
        <v>42</v>
      </c>
      <c r="D774" s="15" t="s">
        <v>1636</v>
      </c>
      <c r="E774" s="13">
        <v>25</v>
      </c>
      <c r="F774" s="13">
        <v>2</v>
      </c>
      <c r="G774" s="13">
        <f t="shared" si="36"/>
        <v>31</v>
      </c>
      <c r="H774" s="13">
        <v>133</v>
      </c>
      <c r="I774" s="14">
        <f t="shared" si="37"/>
        <v>-132.84657534246574</v>
      </c>
      <c r="J774" s="15" t="s">
        <v>1637</v>
      </c>
      <c r="P774">
        <v>252</v>
      </c>
      <c r="Q774" s="17">
        <v>252</v>
      </c>
      <c r="R774" s="16">
        <f>1000/Q774</f>
        <v>3.9682539682539684</v>
      </c>
      <c r="S774" s="16">
        <f>8.33*R774</f>
        <v>33.055555555555557</v>
      </c>
      <c r="T774" s="16">
        <f>S774*1.33</f>
        <v>43.963888888888896</v>
      </c>
    </row>
    <row r="775" spans="1:37" x14ac:dyDescent="0.2">
      <c r="A775">
        <v>-133</v>
      </c>
      <c r="B775" s="10" t="s">
        <v>185</v>
      </c>
      <c r="C775" s="11" t="s">
        <v>45</v>
      </c>
      <c r="D775" s="15" t="s">
        <v>1638</v>
      </c>
      <c r="E775" s="13">
        <v>6</v>
      </c>
      <c r="F775" s="13">
        <v>3</v>
      </c>
      <c r="G775" s="13">
        <f t="shared" si="36"/>
        <v>59</v>
      </c>
      <c r="H775" s="13">
        <v>133</v>
      </c>
      <c r="I775" s="14">
        <f t="shared" si="37"/>
        <v>-132.82191780821918</v>
      </c>
      <c r="J775" s="15" t="s">
        <v>1625</v>
      </c>
      <c r="P775">
        <v>261</v>
      </c>
      <c r="Q775" s="17">
        <v>261</v>
      </c>
      <c r="R775" s="16">
        <f>1000/Q775</f>
        <v>3.8314176245210727</v>
      </c>
      <c r="S775" s="16">
        <f>8.33*R775</f>
        <v>31.915708812260537</v>
      </c>
      <c r="T775" s="16">
        <f>S775*1.33</f>
        <v>42.447892720306513</v>
      </c>
    </row>
    <row r="776" spans="1:37" x14ac:dyDescent="0.2">
      <c r="A776">
        <v>-132</v>
      </c>
      <c r="B776" s="10" t="s">
        <v>72</v>
      </c>
      <c r="D776" s="15" t="s">
        <v>1639</v>
      </c>
      <c r="E776" s="13">
        <v>8</v>
      </c>
      <c r="F776" s="13">
        <v>9</v>
      </c>
      <c r="G776" s="13">
        <f t="shared" si="36"/>
        <v>243</v>
      </c>
      <c r="H776" s="13">
        <v>133</v>
      </c>
      <c r="I776" s="14">
        <f t="shared" si="37"/>
        <v>-132.31232876712329</v>
      </c>
      <c r="J776" s="15" t="s">
        <v>1640</v>
      </c>
      <c r="AC776" s="1">
        <v>21.5</v>
      </c>
      <c r="AD776" s="9">
        <v>21.5</v>
      </c>
      <c r="AE776" s="8">
        <f>1000/AD776</f>
        <v>46.511627906976742</v>
      </c>
      <c r="AF776" s="8">
        <f>8.33*AE776</f>
        <v>387.44186046511624</v>
      </c>
      <c r="AG776" s="1">
        <v>1.75</v>
      </c>
      <c r="AH776" s="9">
        <v>1.75</v>
      </c>
      <c r="AI776" s="8">
        <f>1/AH776</f>
        <v>0.5714285714285714</v>
      </c>
      <c r="AJ776" s="8">
        <f>8.33*AI776</f>
        <v>4.76</v>
      </c>
    </row>
    <row r="777" spans="1:37" x14ac:dyDescent="0.2">
      <c r="A777">
        <v>-132</v>
      </c>
      <c r="B777" s="10" t="s">
        <v>72</v>
      </c>
      <c r="C777" s="11" t="s">
        <v>39</v>
      </c>
      <c r="D777" s="15" t="s">
        <v>1639</v>
      </c>
      <c r="E777" s="13">
        <v>8</v>
      </c>
      <c r="F777" s="13">
        <v>9</v>
      </c>
      <c r="G777" s="13">
        <f t="shared" si="36"/>
        <v>243</v>
      </c>
      <c r="H777" s="13">
        <v>133</v>
      </c>
      <c r="I777" s="14">
        <f t="shared" si="37"/>
        <v>-132.31232876712329</v>
      </c>
      <c r="J777" s="15" t="s">
        <v>1641</v>
      </c>
      <c r="K777" s="10">
        <v>132</v>
      </c>
      <c r="L777" s="16">
        <v>132</v>
      </c>
      <c r="M777" s="16">
        <f>1000/L777</f>
        <v>7.5757575757575761</v>
      </c>
      <c r="N777" s="16">
        <f>8.33*M777</f>
        <v>63.106060606060609</v>
      </c>
      <c r="O777" s="16">
        <f>1.613*N777</f>
        <v>101.79007575757576</v>
      </c>
      <c r="P777">
        <v>240</v>
      </c>
      <c r="Q777" s="17">
        <v>240</v>
      </c>
      <c r="R777" s="16">
        <f>1000/Q777</f>
        <v>4.166666666666667</v>
      </c>
      <c r="S777" s="16">
        <f>8.33*R777</f>
        <v>34.708333333333336</v>
      </c>
      <c r="T777" s="16">
        <f>S777*1.33</f>
        <v>46.162083333333342</v>
      </c>
      <c r="U777" t="s">
        <v>1642</v>
      </c>
      <c r="V777" s="20">
        <v>584</v>
      </c>
      <c r="W777" s="19">
        <f>1000/V777</f>
        <v>1.7123287671232876</v>
      </c>
      <c r="X777" s="19">
        <f>8.33*W777</f>
        <v>14.263698630136986</v>
      </c>
      <c r="Y777" t="s">
        <v>1643</v>
      </c>
      <c r="Z777" s="20">
        <v>81</v>
      </c>
      <c r="AA777" s="19">
        <f>1000/Z777</f>
        <v>12.345679012345679</v>
      </c>
      <c r="AB777" s="19">
        <f>8.33*AA777</f>
        <v>102.83950617283951</v>
      </c>
    </row>
    <row r="778" spans="1:37" x14ac:dyDescent="0.2">
      <c r="A778">
        <v>-132</v>
      </c>
      <c r="B778" s="10" t="s">
        <v>72</v>
      </c>
      <c r="C778" s="11" t="s">
        <v>42</v>
      </c>
      <c r="D778" s="15" t="s">
        <v>1644</v>
      </c>
      <c r="E778" s="13">
        <v>18</v>
      </c>
      <c r="F778" s="13">
        <v>9</v>
      </c>
      <c r="G778" s="13">
        <f t="shared" si="36"/>
        <v>243</v>
      </c>
      <c r="H778" s="13">
        <v>133</v>
      </c>
      <c r="I778" s="14">
        <f t="shared" si="37"/>
        <v>-132.28493150684932</v>
      </c>
      <c r="J778" s="15" t="s">
        <v>1645</v>
      </c>
      <c r="W778" s="19"/>
      <c r="X778" s="19"/>
    </row>
    <row r="779" spans="1:37" x14ac:dyDescent="0.2">
      <c r="A779">
        <v>-132</v>
      </c>
      <c r="B779" s="10" t="s">
        <v>72</v>
      </c>
      <c r="C779" s="11" t="s">
        <v>45</v>
      </c>
      <c r="D779" s="15" t="s">
        <v>1646</v>
      </c>
      <c r="E779" s="13">
        <v>28</v>
      </c>
      <c r="F779" s="13">
        <v>9</v>
      </c>
      <c r="G779" s="13">
        <f t="shared" si="36"/>
        <v>243</v>
      </c>
      <c r="H779" s="13">
        <v>133</v>
      </c>
      <c r="I779" s="14">
        <f t="shared" si="37"/>
        <v>-132.25753424657535</v>
      </c>
      <c r="J779" s="15" t="s">
        <v>1640</v>
      </c>
      <c r="K779" s="10">
        <v>129</v>
      </c>
      <c r="L779" s="16">
        <v>129</v>
      </c>
      <c r="M779" s="16">
        <f>1000/L779</f>
        <v>7.7519379844961236</v>
      </c>
      <c r="N779" s="16">
        <f>8.33*M779</f>
        <v>64.573643410852711</v>
      </c>
      <c r="O779" s="16">
        <f>1.613*N779</f>
        <v>104.15728682170543</v>
      </c>
      <c r="P779" t="s">
        <v>41</v>
      </c>
      <c r="U779" t="s">
        <v>1647</v>
      </c>
      <c r="V779" s="20">
        <v>540</v>
      </c>
      <c r="W779" s="19">
        <f>1000/V779</f>
        <v>1.8518518518518519</v>
      </c>
      <c r="X779" s="19">
        <f>8.33*W779</f>
        <v>15.425925925925926</v>
      </c>
    </row>
    <row r="780" spans="1:37" x14ac:dyDescent="0.2">
      <c r="A780">
        <v>-132</v>
      </c>
      <c r="B780" s="10" t="s">
        <v>91</v>
      </c>
      <c r="D780" s="15" t="s">
        <v>1648</v>
      </c>
      <c r="E780" s="13">
        <v>8</v>
      </c>
      <c r="F780" s="13">
        <v>10</v>
      </c>
      <c r="G780" s="13">
        <f t="shared" si="36"/>
        <v>273</v>
      </c>
      <c r="H780" s="13">
        <v>133</v>
      </c>
      <c r="I780" s="14">
        <f t="shared" si="37"/>
        <v>-132.23013698630137</v>
      </c>
      <c r="J780" s="15" t="s">
        <v>1649</v>
      </c>
      <c r="U780" s="1">
        <v>540</v>
      </c>
      <c r="V780" s="9">
        <v>540</v>
      </c>
      <c r="W780" s="8">
        <f>1000/V780</f>
        <v>1.8518518518518519</v>
      </c>
      <c r="X780" s="8">
        <f>8.33*W780</f>
        <v>15.425925925925926</v>
      </c>
      <c r="Y780" s="1">
        <v>81</v>
      </c>
      <c r="Z780" s="9">
        <v>81</v>
      </c>
      <c r="AA780" s="8">
        <f>1000/Z780</f>
        <v>12.345679012345679</v>
      </c>
      <c r="AB780" s="8">
        <f>8.33*AA780</f>
        <v>102.83950617283951</v>
      </c>
      <c r="AC780" s="1" t="s">
        <v>1650</v>
      </c>
      <c r="AD780" s="21">
        <v>8</v>
      </c>
      <c r="AE780" s="22">
        <f>1000/AD780</f>
        <v>125</v>
      </c>
      <c r="AF780" s="22">
        <f>8.33*AE780</f>
        <v>1041.25</v>
      </c>
      <c r="AG780" s="1" t="s">
        <v>41</v>
      </c>
    </row>
    <row r="781" spans="1:37" x14ac:dyDescent="0.2">
      <c r="A781">
        <v>-132</v>
      </c>
      <c r="B781" s="10" t="s">
        <v>120</v>
      </c>
      <c r="C781" s="11" t="s">
        <v>39</v>
      </c>
      <c r="D781" s="15" t="s">
        <v>1648</v>
      </c>
      <c r="E781" s="13">
        <v>8</v>
      </c>
      <c r="F781" s="13">
        <v>10</v>
      </c>
      <c r="G781" s="13">
        <f t="shared" si="36"/>
        <v>273</v>
      </c>
      <c r="H781" s="13">
        <v>133</v>
      </c>
      <c r="I781" s="14">
        <f t="shared" si="37"/>
        <v>-132.23013698630137</v>
      </c>
      <c r="J781" s="15" t="s">
        <v>1651</v>
      </c>
      <c r="K781" s="10">
        <v>123</v>
      </c>
      <c r="L781" s="16">
        <v>123</v>
      </c>
      <c r="M781" s="16">
        <f>1000/L781</f>
        <v>8.1300813008130088</v>
      </c>
      <c r="N781" s="16">
        <f>8.33*M781</f>
        <v>67.723577235772368</v>
      </c>
      <c r="O781" s="16">
        <f>1.613*N781</f>
        <v>109.23813008130082</v>
      </c>
      <c r="P781">
        <v>240</v>
      </c>
      <c r="Q781" s="17">
        <v>240</v>
      </c>
      <c r="R781" s="16">
        <f>1000/Q781</f>
        <v>4.166666666666667</v>
      </c>
      <c r="S781" s="16">
        <f>8.33*R781</f>
        <v>34.708333333333336</v>
      </c>
      <c r="T781" s="16">
        <f>S781*1.33</f>
        <v>46.162083333333342</v>
      </c>
      <c r="W781" s="8"/>
      <c r="X781" s="8"/>
      <c r="AA781" s="8"/>
      <c r="AB781" s="8"/>
      <c r="AH781" s="9"/>
    </row>
    <row r="782" spans="1:37" x14ac:dyDescent="0.2">
      <c r="A782">
        <v>-132</v>
      </c>
      <c r="B782" s="10" t="s">
        <v>120</v>
      </c>
      <c r="C782" s="11" t="s">
        <v>42</v>
      </c>
      <c r="D782" s="15" t="s">
        <v>1652</v>
      </c>
      <c r="E782" s="13">
        <v>18</v>
      </c>
      <c r="F782" s="13">
        <v>10</v>
      </c>
      <c r="G782" s="13">
        <f t="shared" si="36"/>
        <v>273</v>
      </c>
      <c r="H782" s="13">
        <v>133</v>
      </c>
      <c r="I782" s="14">
        <f t="shared" si="37"/>
        <v>-132.2027397260274</v>
      </c>
      <c r="J782" s="15" t="s">
        <v>1653</v>
      </c>
      <c r="L782" s="19">
        <v>123</v>
      </c>
      <c r="M782" s="19">
        <v>8.1300000000000008</v>
      </c>
      <c r="N782" s="19">
        <v>67.72</v>
      </c>
      <c r="O782" s="19">
        <v>109.24</v>
      </c>
      <c r="P782">
        <v>300</v>
      </c>
      <c r="Q782" s="17">
        <v>300</v>
      </c>
      <c r="R782" s="16">
        <f>1000/Q782</f>
        <v>3.3333333333333335</v>
      </c>
      <c r="S782" s="16">
        <f>8.33*R782</f>
        <v>27.766666666666669</v>
      </c>
      <c r="T782" s="16">
        <f>S782*1.33</f>
        <v>36.92966666666667</v>
      </c>
      <c r="W782" s="8"/>
      <c r="X782" s="8"/>
      <c r="AA782" s="8"/>
      <c r="AB782" s="8"/>
      <c r="AK782" t="s">
        <v>319</v>
      </c>
    </row>
    <row r="783" spans="1:37" x14ac:dyDescent="0.2">
      <c r="B783" s="10" t="s">
        <v>91</v>
      </c>
      <c r="C783" s="11" t="s">
        <v>1398</v>
      </c>
      <c r="D783" s="15" t="s">
        <v>1652</v>
      </c>
      <c r="E783" s="13">
        <v>18</v>
      </c>
      <c r="F783" s="13">
        <v>10</v>
      </c>
      <c r="G783" s="13">
        <f t="shared" si="36"/>
        <v>273</v>
      </c>
      <c r="H783" s="13">
        <v>133</v>
      </c>
      <c r="I783" s="14">
        <f t="shared" si="37"/>
        <v>-132.2027397260274</v>
      </c>
      <c r="J783" s="15" t="s">
        <v>1653</v>
      </c>
      <c r="P783" t="s">
        <v>1654</v>
      </c>
      <c r="Q783" s="17">
        <v>324</v>
      </c>
      <c r="R783" s="16">
        <f>1000/Q783</f>
        <v>3.0864197530864197</v>
      </c>
      <c r="S783" s="16">
        <f>8.33*R783</f>
        <v>25.709876543209877</v>
      </c>
      <c r="T783" s="16">
        <f>S783*1.33</f>
        <v>34.194135802469141</v>
      </c>
      <c r="W783" s="8"/>
      <c r="X783" s="8"/>
      <c r="AA783" s="8"/>
      <c r="AB783" s="8"/>
      <c r="AK783" t="s">
        <v>1655</v>
      </c>
    </row>
    <row r="784" spans="1:37" x14ac:dyDescent="0.2">
      <c r="A784">
        <v>-132</v>
      </c>
      <c r="B784" s="10" t="s">
        <v>120</v>
      </c>
      <c r="C784" s="11" t="s">
        <v>45</v>
      </c>
      <c r="D784" s="15" t="s">
        <v>1656</v>
      </c>
      <c r="E784" s="13">
        <v>28</v>
      </c>
      <c r="F784" s="13">
        <v>10</v>
      </c>
      <c r="G784" s="13">
        <f t="shared" si="36"/>
        <v>273</v>
      </c>
      <c r="H784" s="13">
        <v>133</v>
      </c>
      <c r="I784" s="14">
        <f t="shared" si="37"/>
        <v>-132.17534246575343</v>
      </c>
      <c r="J784" s="15" t="s">
        <v>1649</v>
      </c>
      <c r="K784" s="10" t="s">
        <v>1657</v>
      </c>
      <c r="P784" t="s">
        <v>1658</v>
      </c>
      <c r="Q784" s="20">
        <v>300</v>
      </c>
      <c r="R784" s="19">
        <f>1000/Q784</f>
        <v>3.3333333333333335</v>
      </c>
      <c r="S784" s="19">
        <f>8.33*R784</f>
        <v>27.766666666666669</v>
      </c>
      <c r="T784" s="19">
        <f>S784*1.33</f>
        <v>36.92966666666667</v>
      </c>
      <c r="W784" s="8"/>
      <c r="X784" s="8"/>
      <c r="AA784" s="8"/>
      <c r="AB784" s="8"/>
    </row>
    <row r="785" spans="1:36" x14ac:dyDescent="0.2">
      <c r="A785">
        <v>-132</v>
      </c>
      <c r="B785" s="10" t="s">
        <v>94</v>
      </c>
      <c r="D785" s="15" t="s">
        <v>1659</v>
      </c>
      <c r="E785" s="13">
        <v>7</v>
      </c>
      <c r="F785" s="13">
        <v>11</v>
      </c>
      <c r="G785" s="13">
        <f t="shared" si="36"/>
        <v>304</v>
      </c>
      <c r="H785" s="13">
        <v>133</v>
      </c>
      <c r="I785" s="14">
        <f t="shared" si="37"/>
        <v>-132.14794520547946</v>
      </c>
      <c r="J785" s="15" t="s">
        <v>1660</v>
      </c>
      <c r="T785" s="8"/>
      <c r="U785" s="1">
        <v>480</v>
      </c>
      <c r="V785" s="9">
        <v>480</v>
      </c>
      <c r="W785" s="8">
        <f>1000/V785</f>
        <v>2.0833333333333335</v>
      </c>
      <c r="X785" s="8">
        <f>8.33*W785</f>
        <v>17.354166666666668</v>
      </c>
      <c r="Y785" s="1">
        <v>80</v>
      </c>
      <c r="Z785" s="9">
        <v>80</v>
      </c>
      <c r="AA785" s="8">
        <f>1000/Z785</f>
        <v>12.5</v>
      </c>
      <c r="AB785" s="8">
        <f>8.33*AA785</f>
        <v>104.125</v>
      </c>
      <c r="AG785" s="1">
        <v>1.75</v>
      </c>
      <c r="AH785" s="9">
        <v>1.75</v>
      </c>
      <c r="AI785" s="8">
        <f>1/AH785</f>
        <v>0.5714285714285714</v>
      </c>
      <c r="AJ785" s="8">
        <f>8.33*AI785</f>
        <v>4.76</v>
      </c>
    </row>
    <row r="786" spans="1:36" x14ac:dyDescent="0.2">
      <c r="A786">
        <v>-132</v>
      </c>
      <c r="B786" s="10" t="s">
        <v>1515</v>
      </c>
      <c r="C786" s="11" t="s">
        <v>39</v>
      </c>
      <c r="D786" s="15" t="s">
        <v>1659</v>
      </c>
      <c r="E786" s="13">
        <v>7</v>
      </c>
      <c r="F786" s="13">
        <v>11</v>
      </c>
      <c r="G786" s="13">
        <f t="shared" si="36"/>
        <v>304</v>
      </c>
      <c r="H786" s="13">
        <v>133</v>
      </c>
      <c r="I786" s="14">
        <f t="shared" si="37"/>
        <v>-132.14794520547946</v>
      </c>
      <c r="J786" s="15" t="s">
        <v>1661</v>
      </c>
      <c r="K786" s="10">
        <v>126</v>
      </c>
      <c r="L786" s="16">
        <v>126</v>
      </c>
      <c r="M786" s="16">
        <f>1000/L786</f>
        <v>7.9365079365079367</v>
      </c>
      <c r="N786" s="16">
        <f>8.33*M786</f>
        <v>66.111111111111114</v>
      </c>
      <c r="O786" s="16">
        <f>1.613*N786</f>
        <v>106.63722222222222</v>
      </c>
      <c r="T786" s="8"/>
    </row>
    <row r="787" spans="1:36" x14ac:dyDescent="0.2">
      <c r="A787">
        <v>-132</v>
      </c>
      <c r="B787" s="10" t="s">
        <v>1515</v>
      </c>
      <c r="C787" s="11" t="s">
        <v>1662</v>
      </c>
      <c r="D787" s="7" t="s">
        <v>1659</v>
      </c>
      <c r="E787" s="13">
        <v>7</v>
      </c>
      <c r="F787" s="13">
        <v>11</v>
      </c>
      <c r="G787" s="13">
        <f t="shared" si="36"/>
        <v>304</v>
      </c>
      <c r="H787" s="13">
        <v>133</v>
      </c>
      <c r="I787" s="14">
        <f t="shared" si="37"/>
        <v>-132.14794520547946</v>
      </c>
      <c r="J787" s="7" t="s">
        <v>1663</v>
      </c>
      <c r="P787">
        <v>324</v>
      </c>
      <c r="Q787" s="17">
        <v>324</v>
      </c>
      <c r="R787" s="16">
        <f>1000/Q787</f>
        <v>3.0864197530864197</v>
      </c>
      <c r="S787" s="16">
        <f>8.33*R787</f>
        <v>25.709876543209877</v>
      </c>
      <c r="T787" s="16">
        <f>S787*1.33</f>
        <v>34.194135802469141</v>
      </c>
    </row>
    <row r="788" spans="1:36" x14ac:dyDescent="0.2">
      <c r="A788">
        <v>-132</v>
      </c>
      <c r="B788" s="10" t="s">
        <v>1515</v>
      </c>
      <c r="C788" s="11" t="s">
        <v>42</v>
      </c>
      <c r="D788" s="15" t="s">
        <v>1664</v>
      </c>
      <c r="E788" s="13">
        <v>17</v>
      </c>
      <c r="F788" s="13">
        <v>11</v>
      </c>
      <c r="G788" s="13">
        <f t="shared" si="36"/>
        <v>304</v>
      </c>
      <c r="H788" s="13">
        <v>133</v>
      </c>
      <c r="I788" s="14">
        <f t="shared" si="37"/>
        <v>-132.12054794520549</v>
      </c>
      <c r="J788" s="15" t="s">
        <v>1665</v>
      </c>
      <c r="T788" s="8"/>
      <c r="AC788">
        <v>20</v>
      </c>
      <c r="AD788" s="17">
        <v>20</v>
      </c>
      <c r="AE788" s="16">
        <f>1000/AD788</f>
        <v>50</v>
      </c>
      <c r="AF788" s="16">
        <f>8.33*AE788</f>
        <v>416.5</v>
      </c>
    </row>
    <row r="789" spans="1:36" x14ac:dyDescent="0.2">
      <c r="A789">
        <v>-132</v>
      </c>
      <c r="B789" s="10" t="s">
        <v>1515</v>
      </c>
      <c r="C789" s="11" t="s">
        <v>1666</v>
      </c>
      <c r="D789" s="7" t="s">
        <v>1667</v>
      </c>
      <c r="E789" s="13">
        <v>19</v>
      </c>
      <c r="F789" s="13">
        <v>11</v>
      </c>
      <c r="G789" s="13">
        <f t="shared" si="36"/>
        <v>304</v>
      </c>
      <c r="H789" s="13">
        <v>133</v>
      </c>
      <c r="I789" s="14">
        <f t="shared" si="37"/>
        <v>-132.11506849315069</v>
      </c>
      <c r="J789" s="7" t="s">
        <v>1668</v>
      </c>
      <c r="P789">
        <v>330</v>
      </c>
      <c r="Q789" s="17">
        <v>330</v>
      </c>
      <c r="R789" s="16">
        <f>1000/Q789</f>
        <v>3.0303030303030303</v>
      </c>
      <c r="S789" s="16">
        <f>8.33*R789</f>
        <v>25.242424242424242</v>
      </c>
      <c r="T789" s="16">
        <f>S789*1.33</f>
        <v>33.572424242424241</v>
      </c>
    </row>
    <row r="790" spans="1:36" x14ac:dyDescent="0.2">
      <c r="A790">
        <v>-132</v>
      </c>
      <c r="B790" s="10" t="s">
        <v>1515</v>
      </c>
      <c r="C790" s="11" t="s">
        <v>1669</v>
      </c>
      <c r="D790" s="32" t="s">
        <v>1670</v>
      </c>
      <c r="E790" s="13">
        <v>25</v>
      </c>
      <c r="F790" s="13">
        <v>11</v>
      </c>
      <c r="G790" s="13">
        <f t="shared" si="36"/>
        <v>304</v>
      </c>
      <c r="H790" s="13">
        <v>133</v>
      </c>
      <c r="I790" s="14">
        <f t="shared" si="37"/>
        <v>-132.09863013698629</v>
      </c>
      <c r="J790" s="7" t="s">
        <v>1665</v>
      </c>
      <c r="K790" s="10">
        <v>120</v>
      </c>
      <c r="L790" s="16">
        <v>120</v>
      </c>
      <c r="M790" s="16">
        <f>1000/L790</f>
        <v>8.3333333333333339</v>
      </c>
      <c r="N790" s="16">
        <f>8.33*M790</f>
        <v>69.416666666666671</v>
      </c>
      <c r="O790" s="16">
        <f>1.613*N790</f>
        <v>111.96908333333334</v>
      </c>
    </row>
    <row r="791" spans="1:36" x14ac:dyDescent="0.2">
      <c r="A791">
        <v>-132</v>
      </c>
      <c r="B791" s="10" t="s">
        <v>1515</v>
      </c>
      <c r="C791" s="11" t="s">
        <v>1671</v>
      </c>
      <c r="D791" s="7" t="s">
        <v>1670</v>
      </c>
      <c r="E791" s="13">
        <v>25</v>
      </c>
      <c r="F791" s="13">
        <v>11</v>
      </c>
      <c r="G791" s="13">
        <f t="shared" si="36"/>
        <v>304</v>
      </c>
      <c r="H791" s="13">
        <v>133</v>
      </c>
      <c r="I791" s="14">
        <f t="shared" si="37"/>
        <v>-132.09863013698629</v>
      </c>
      <c r="J791" s="7" t="s">
        <v>1665</v>
      </c>
      <c r="P791">
        <v>315</v>
      </c>
      <c r="Q791" s="17">
        <v>315</v>
      </c>
      <c r="R791" s="16">
        <f>1000/Q791</f>
        <v>3.1746031746031744</v>
      </c>
      <c r="S791" s="16">
        <f>8.33*R791</f>
        <v>26.444444444444443</v>
      </c>
      <c r="T791" s="16">
        <f>S791*1.33</f>
        <v>35.171111111111109</v>
      </c>
    </row>
    <row r="792" spans="1:36" x14ac:dyDescent="0.2">
      <c r="A792">
        <v>-132</v>
      </c>
      <c r="B792" s="10" t="s">
        <v>1515</v>
      </c>
      <c r="C792" s="11" t="s">
        <v>45</v>
      </c>
      <c r="D792" s="15" t="s">
        <v>1672</v>
      </c>
      <c r="E792" s="13">
        <v>27</v>
      </c>
      <c r="F792" s="13">
        <v>11</v>
      </c>
      <c r="G792" s="13">
        <f t="shared" si="36"/>
        <v>304</v>
      </c>
      <c r="H792" s="13">
        <v>133</v>
      </c>
      <c r="I792" s="14">
        <f t="shared" si="37"/>
        <v>-132.09315068493152</v>
      </c>
      <c r="J792" s="15" t="s">
        <v>1660</v>
      </c>
      <c r="K792" s="10">
        <v>105</v>
      </c>
      <c r="L792" s="16">
        <v>105</v>
      </c>
      <c r="M792" s="16">
        <f>1000/L792</f>
        <v>9.5238095238095237</v>
      </c>
      <c r="N792" s="16">
        <f>8.33*M792</f>
        <v>79.333333333333329</v>
      </c>
      <c r="O792" s="16">
        <f>1.613*N792</f>
        <v>127.96466666666666</v>
      </c>
      <c r="P792">
        <v>270</v>
      </c>
      <c r="Q792" s="17">
        <v>270</v>
      </c>
      <c r="R792" s="16">
        <f>1000/Q792</f>
        <v>3.7037037037037037</v>
      </c>
      <c r="S792" s="16">
        <f>8.33*R792</f>
        <v>30.851851851851851</v>
      </c>
      <c r="T792" s="16">
        <f>S792*1.33</f>
        <v>41.032962962962962</v>
      </c>
      <c r="AC792">
        <v>21</v>
      </c>
      <c r="AD792" s="17">
        <v>21</v>
      </c>
      <c r="AE792" s="16">
        <f>1000/AD792</f>
        <v>47.61904761904762</v>
      </c>
      <c r="AF792" s="16">
        <f>8.33*AE792</f>
        <v>396.66666666666669</v>
      </c>
    </row>
    <row r="793" spans="1:36" x14ac:dyDescent="0.2">
      <c r="A793">
        <v>-132</v>
      </c>
      <c r="B793" s="10" t="s">
        <v>1515</v>
      </c>
      <c r="C793" s="11" t="s">
        <v>1673</v>
      </c>
      <c r="D793" s="7" t="s">
        <v>1672</v>
      </c>
      <c r="E793" s="13">
        <v>27</v>
      </c>
      <c r="F793" s="13">
        <v>11</v>
      </c>
      <c r="G793" s="13">
        <f t="shared" si="36"/>
        <v>304</v>
      </c>
      <c r="H793" s="13">
        <v>133</v>
      </c>
      <c r="I793" s="14">
        <f t="shared" si="37"/>
        <v>-132.09315068493152</v>
      </c>
      <c r="J793" s="7" t="s">
        <v>1674</v>
      </c>
      <c r="P793">
        <v>306</v>
      </c>
      <c r="Q793" s="17">
        <v>306</v>
      </c>
      <c r="R793" s="16">
        <f>1000/Q793</f>
        <v>3.2679738562091503</v>
      </c>
      <c r="S793" s="16">
        <f>8.33*R793</f>
        <v>27.222222222222221</v>
      </c>
      <c r="T793" s="16">
        <f>S793*1.33</f>
        <v>36.205555555555556</v>
      </c>
    </row>
    <row r="794" spans="1:36" x14ac:dyDescent="0.2">
      <c r="A794">
        <v>-132</v>
      </c>
      <c r="B794" s="10" t="s">
        <v>1515</v>
      </c>
      <c r="C794" s="11" t="s">
        <v>1675</v>
      </c>
      <c r="D794" s="7" t="s">
        <v>1676</v>
      </c>
      <c r="E794" s="13">
        <v>30</v>
      </c>
      <c r="F794" s="13">
        <v>11</v>
      </c>
      <c r="G794" s="13">
        <f t="shared" si="36"/>
        <v>304</v>
      </c>
      <c r="H794" s="13">
        <v>133</v>
      </c>
      <c r="I794" s="14">
        <f t="shared" si="37"/>
        <v>-132.0849315068493</v>
      </c>
      <c r="J794" s="33" t="s">
        <v>1660</v>
      </c>
      <c r="P794" t="s">
        <v>41</v>
      </c>
    </row>
    <row r="795" spans="1:36" x14ac:dyDescent="0.2">
      <c r="A795">
        <v>-132</v>
      </c>
      <c r="B795" s="10" t="s">
        <v>75</v>
      </c>
      <c r="C795" s="11" t="s">
        <v>39</v>
      </c>
      <c r="D795" s="15" t="s">
        <v>1677</v>
      </c>
      <c r="E795" s="13">
        <v>5</v>
      </c>
      <c r="F795" s="13">
        <v>1</v>
      </c>
      <c r="G795" s="13">
        <f t="shared" si="36"/>
        <v>0</v>
      </c>
      <c r="H795" s="13">
        <v>132</v>
      </c>
      <c r="I795" s="14">
        <f t="shared" si="37"/>
        <v>-131.98630136986301</v>
      </c>
      <c r="J795" s="15" t="s">
        <v>1678</v>
      </c>
    </row>
    <row r="796" spans="1:36" x14ac:dyDescent="0.2">
      <c r="A796">
        <v>-132</v>
      </c>
      <c r="B796" s="10" t="s">
        <v>75</v>
      </c>
      <c r="C796" s="11" t="s">
        <v>42</v>
      </c>
      <c r="D796" s="15" t="s">
        <v>1679</v>
      </c>
      <c r="E796" s="13">
        <v>15</v>
      </c>
      <c r="F796" s="13">
        <v>1</v>
      </c>
      <c r="G796" s="13">
        <f t="shared" si="36"/>
        <v>0</v>
      </c>
      <c r="H796" s="13">
        <v>132</v>
      </c>
      <c r="I796" s="14">
        <f t="shared" si="37"/>
        <v>-131.95890410958904</v>
      </c>
      <c r="J796" s="15" t="s">
        <v>1680</v>
      </c>
      <c r="P796">
        <v>270</v>
      </c>
      <c r="Q796" s="17">
        <v>270</v>
      </c>
      <c r="R796" s="16">
        <f>1000/Q796</f>
        <v>3.7037037037037037</v>
      </c>
      <c r="S796" s="16">
        <f>8.33*R796</f>
        <v>30.851851851851851</v>
      </c>
      <c r="T796" s="16">
        <f>S796*1.33</f>
        <v>41.032962962962962</v>
      </c>
    </row>
    <row r="797" spans="1:36" x14ac:dyDescent="0.2">
      <c r="A797">
        <v>-132</v>
      </c>
      <c r="B797" s="10" t="s">
        <v>75</v>
      </c>
      <c r="C797" s="11" t="s">
        <v>1616</v>
      </c>
      <c r="D797" s="7" t="s">
        <v>1681</v>
      </c>
      <c r="E797" s="13">
        <v>20</v>
      </c>
      <c r="F797" s="13">
        <v>1</v>
      </c>
      <c r="G797" s="13">
        <f t="shared" si="36"/>
        <v>0</v>
      </c>
      <c r="H797" s="13">
        <v>132</v>
      </c>
      <c r="I797" s="14">
        <f t="shared" si="37"/>
        <v>-131.94520547945206</v>
      </c>
      <c r="J797" s="7" t="s">
        <v>1680</v>
      </c>
      <c r="P797">
        <v>285</v>
      </c>
      <c r="Q797" s="17">
        <v>285</v>
      </c>
      <c r="R797" s="16">
        <f>1000/Q797</f>
        <v>3.5087719298245612</v>
      </c>
      <c r="S797" s="16">
        <f>8.33*R797</f>
        <v>29.228070175438596</v>
      </c>
      <c r="T797" s="16">
        <f>S797*1.33</f>
        <v>38.873333333333335</v>
      </c>
    </row>
    <row r="798" spans="1:36" x14ac:dyDescent="0.2">
      <c r="A798">
        <v>-132</v>
      </c>
      <c r="B798" s="10" t="s">
        <v>75</v>
      </c>
      <c r="C798" s="11" t="s">
        <v>1682</v>
      </c>
      <c r="D798" s="7" t="s">
        <v>1683</v>
      </c>
      <c r="E798" s="13">
        <v>25</v>
      </c>
      <c r="F798" s="13">
        <v>1</v>
      </c>
      <c r="G798" s="13">
        <f t="shared" si="36"/>
        <v>0</v>
      </c>
      <c r="H798" s="13">
        <v>132</v>
      </c>
      <c r="I798" s="14">
        <f t="shared" si="37"/>
        <v>-131.93150684931507</v>
      </c>
      <c r="J798" s="7" t="s">
        <v>1678</v>
      </c>
      <c r="P798">
        <v>288</v>
      </c>
      <c r="Q798" s="17">
        <v>288</v>
      </c>
      <c r="R798" s="16">
        <f>1000/Q798</f>
        <v>3.4722222222222223</v>
      </c>
      <c r="S798" s="16">
        <f>8.33*R798</f>
        <v>28.923611111111111</v>
      </c>
      <c r="T798" s="16">
        <f>S798*1.33</f>
        <v>38.468402777777783</v>
      </c>
    </row>
    <row r="799" spans="1:36" x14ac:dyDescent="0.2">
      <c r="A799">
        <v>-132</v>
      </c>
      <c r="B799" s="10" t="s">
        <v>75</v>
      </c>
      <c r="C799" s="11" t="s">
        <v>45</v>
      </c>
      <c r="D799" s="26" t="s">
        <v>1683</v>
      </c>
      <c r="E799" s="13">
        <v>25</v>
      </c>
      <c r="F799" s="13">
        <v>1</v>
      </c>
      <c r="G799" s="13">
        <f t="shared" si="36"/>
        <v>0</v>
      </c>
      <c r="H799" s="13">
        <v>132</v>
      </c>
      <c r="I799" s="14">
        <f t="shared" si="37"/>
        <v>-131.93150684931507</v>
      </c>
      <c r="J799" s="26" t="s">
        <v>1678</v>
      </c>
    </row>
    <row r="800" spans="1:36" x14ac:dyDescent="0.2">
      <c r="A800">
        <v>-132</v>
      </c>
      <c r="B800" s="10" t="s">
        <v>83</v>
      </c>
      <c r="D800" s="15" t="s">
        <v>1684</v>
      </c>
      <c r="E800" s="13">
        <v>3</v>
      </c>
      <c r="F800" s="13">
        <v>2</v>
      </c>
      <c r="G800" s="13">
        <f t="shared" si="36"/>
        <v>31</v>
      </c>
      <c r="H800" s="13">
        <v>132</v>
      </c>
      <c r="I800" s="14">
        <f t="shared" si="37"/>
        <v>-131.90684931506848</v>
      </c>
      <c r="J800" s="15" t="s">
        <v>1685</v>
      </c>
      <c r="W800" s="8"/>
      <c r="X800" s="8"/>
      <c r="Y800" s="1">
        <v>80</v>
      </c>
      <c r="Z800" s="9">
        <v>80</v>
      </c>
      <c r="AA800" s="8">
        <f>1000/Z800</f>
        <v>12.5</v>
      </c>
      <c r="AB800" s="8">
        <f>8.33*AA800</f>
        <v>104.125</v>
      </c>
      <c r="AC800" s="1">
        <v>20</v>
      </c>
      <c r="AD800" s="9">
        <v>20</v>
      </c>
      <c r="AE800" s="8">
        <f>1000/AD800</f>
        <v>50</v>
      </c>
      <c r="AF800" s="8">
        <f>8.33*AE800</f>
        <v>416.5</v>
      </c>
    </row>
    <row r="801" spans="1:36" x14ac:dyDescent="0.2">
      <c r="A801">
        <v>-132</v>
      </c>
      <c r="B801" s="10" t="s">
        <v>127</v>
      </c>
      <c r="D801" s="15" t="s">
        <v>1686</v>
      </c>
      <c r="E801" s="13">
        <v>5</v>
      </c>
      <c r="F801" s="13">
        <v>3</v>
      </c>
      <c r="G801" s="13">
        <f t="shared" si="36"/>
        <v>59</v>
      </c>
      <c r="H801" s="13">
        <v>132</v>
      </c>
      <c r="I801" s="14">
        <f t="shared" si="37"/>
        <v>-131.82465753424657</v>
      </c>
      <c r="J801" s="15" t="s">
        <v>1687</v>
      </c>
      <c r="U801" s="1">
        <v>630</v>
      </c>
      <c r="V801" s="9">
        <v>630</v>
      </c>
      <c r="W801" s="8">
        <f>1000/V801</f>
        <v>1.5873015873015872</v>
      </c>
      <c r="X801" s="8">
        <f>8.33*W801</f>
        <v>13.222222222222221</v>
      </c>
      <c r="Y801" s="1">
        <v>80</v>
      </c>
      <c r="Z801" s="9">
        <v>80</v>
      </c>
      <c r="AA801" s="8">
        <f>1000/Z801</f>
        <v>12.5</v>
      </c>
      <c r="AB801" s="8">
        <f>8.33*AA801</f>
        <v>104.125</v>
      </c>
      <c r="AC801" s="1">
        <v>21</v>
      </c>
      <c r="AD801" s="9">
        <v>21</v>
      </c>
      <c r="AE801" s="8">
        <f>1000/AD801</f>
        <v>47.61904761904762</v>
      </c>
      <c r="AF801" s="8">
        <f>8.33*AE801</f>
        <v>396.66666666666669</v>
      </c>
      <c r="AG801" s="1">
        <v>1.75</v>
      </c>
      <c r="AH801" s="9">
        <v>1.75</v>
      </c>
      <c r="AI801" s="8">
        <f>1/AH801</f>
        <v>0.5714285714285714</v>
      </c>
      <c r="AJ801" s="8">
        <f>8.33*AI801</f>
        <v>4.76</v>
      </c>
    </row>
    <row r="802" spans="1:36" x14ac:dyDescent="0.2">
      <c r="A802">
        <v>-132</v>
      </c>
      <c r="B802" s="10" t="s">
        <v>185</v>
      </c>
      <c r="C802" s="11" t="s">
        <v>39</v>
      </c>
      <c r="D802" s="15" t="s">
        <v>1686</v>
      </c>
      <c r="E802" s="13">
        <v>5</v>
      </c>
      <c r="F802" s="13">
        <v>3</v>
      </c>
      <c r="G802" s="13">
        <f t="shared" si="36"/>
        <v>59</v>
      </c>
      <c r="H802" s="13">
        <v>132</v>
      </c>
      <c r="I802" s="14">
        <f t="shared" si="37"/>
        <v>-131.82465753424657</v>
      </c>
      <c r="J802" s="15" t="s">
        <v>1688</v>
      </c>
      <c r="K802" s="10">
        <v>105</v>
      </c>
      <c r="L802" s="16">
        <v>105</v>
      </c>
      <c r="M802" s="16">
        <f>1000/L802</f>
        <v>9.5238095238095237</v>
      </c>
      <c r="N802" s="16">
        <f>8.33*M802</f>
        <v>79.333333333333329</v>
      </c>
      <c r="O802" s="16">
        <f>1.613*N802</f>
        <v>127.96466666666666</v>
      </c>
    </row>
    <row r="803" spans="1:36" x14ac:dyDescent="0.2">
      <c r="A803">
        <v>-132</v>
      </c>
      <c r="B803" s="10" t="s">
        <v>185</v>
      </c>
      <c r="C803" s="11" t="s">
        <v>42</v>
      </c>
      <c r="D803" s="15" t="s">
        <v>1689</v>
      </c>
      <c r="E803" s="13">
        <v>15</v>
      </c>
      <c r="F803" s="13">
        <v>3</v>
      </c>
      <c r="G803" s="13">
        <f t="shared" si="36"/>
        <v>59</v>
      </c>
      <c r="H803" s="13">
        <v>132</v>
      </c>
      <c r="I803" s="14">
        <f t="shared" si="37"/>
        <v>-131.7972602739726</v>
      </c>
      <c r="J803" s="15" t="s">
        <v>1690</v>
      </c>
      <c r="K803" s="10">
        <v>114</v>
      </c>
      <c r="L803" s="16">
        <v>114</v>
      </c>
      <c r="M803" s="16">
        <f>1000/L803</f>
        <v>8.7719298245614041</v>
      </c>
      <c r="N803" s="16">
        <f>8.33*M803</f>
        <v>73.070175438596493</v>
      </c>
      <c r="O803" s="16">
        <f>1.613*N803</f>
        <v>117.86219298245614</v>
      </c>
    </row>
    <row r="804" spans="1:36" x14ac:dyDescent="0.2">
      <c r="A804">
        <v>-132</v>
      </c>
      <c r="B804" s="10" t="s">
        <v>185</v>
      </c>
      <c r="C804" s="11" t="s">
        <v>45</v>
      </c>
      <c r="D804" s="15" t="s">
        <v>1691</v>
      </c>
      <c r="E804" s="13">
        <v>25</v>
      </c>
      <c r="F804" s="13">
        <v>3</v>
      </c>
      <c r="G804" s="13">
        <f t="shared" si="36"/>
        <v>59</v>
      </c>
      <c r="H804" s="13">
        <v>132</v>
      </c>
      <c r="I804" s="14">
        <f t="shared" si="37"/>
        <v>-131.76986301369863</v>
      </c>
      <c r="J804" s="15" t="s">
        <v>1687</v>
      </c>
      <c r="K804" s="10" t="s">
        <v>1692</v>
      </c>
      <c r="L804" s="19">
        <v>120</v>
      </c>
      <c r="M804" s="19">
        <f>1000/L804</f>
        <v>8.3333333333333339</v>
      </c>
      <c r="N804" s="19">
        <f>8.33*M804</f>
        <v>69.416666666666671</v>
      </c>
      <c r="O804" s="19">
        <f>1.613*N804</f>
        <v>111.96908333333334</v>
      </c>
    </row>
    <row r="805" spans="1:36" x14ac:dyDescent="0.2">
      <c r="A805">
        <v>-132</v>
      </c>
      <c r="B805" s="10" t="s">
        <v>185</v>
      </c>
      <c r="C805" s="11" t="s">
        <v>1693</v>
      </c>
      <c r="D805" s="7" t="s">
        <v>1694</v>
      </c>
      <c r="E805" s="13">
        <v>31</v>
      </c>
      <c r="F805" s="13">
        <v>3</v>
      </c>
      <c r="G805" s="13">
        <f t="shared" si="36"/>
        <v>59</v>
      </c>
      <c r="H805" s="13">
        <v>132</v>
      </c>
      <c r="I805" s="14">
        <f t="shared" si="37"/>
        <v>-131.75342465753425</v>
      </c>
      <c r="J805" s="7" t="s">
        <v>1687</v>
      </c>
      <c r="P805">
        <v>330</v>
      </c>
      <c r="Q805" s="17">
        <v>330</v>
      </c>
      <c r="R805" s="16">
        <f>1000/Q805</f>
        <v>3.0303030303030303</v>
      </c>
      <c r="S805" s="16">
        <f>8.33*R805</f>
        <v>25.242424242424242</v>
      </c>
      <c r="T805" s="16">
        <f>S805*1.33</f>
        <v>33.572424242424241</v>
      </c>
    </row>
    <row r="806" spans="1:36" x14ac:dyDescent="0.2">
      <c r="A806">
        <v>-130</v>
      </c>
      <c r="B806" s="10" t="s">
        <v>1695</v>
      </c>
      <c r="D806" s="25" t="s">
        <v>1696</v>
      </c>
      <c r="E806" s="13">
        <v>20</v>
      </c>
      <c r="F806" s="13">
        <v>7</v>
      </c>
      <c r="G806" s="13">
        <f t="shared" si="36"/>
        <v>181</v>
      </c>
      <c r="H806" s="13">
        <v>131</v>
      </c>
      <c r="I806" s="14">
        <f t="shared" si="37"/>
        <v>-130.44931506849315</v>
      </c>
      <c r="J806" s="25" t="s">
        <v>1697</v>
      </c>
      <c r="P806" s="1" t="s">
        <v>1698</v>
      </c>
      <c r="Q806" s="21">
        <v>231</v>
      </c>
      <c r="R806" s="22">
        <f>1000/Q806</f>
        <v>4.329004329004329</v>
      </c>
      <c r="S806" s="22">
        <f>8.33*R806</f>
        <v>36.060606060606062</v>
      </c>
      <c r="T806" s="22">
        <f>S806*1.33</f>
        <v>47.960606060606068</v>
      </c>
      <c r="AC806" s="1" t="s">
        <v>1699</v>
      </c>
      <c r="AG806" s="1">
        <v>1</v>
      </c>
      <c r="AH806" s="9">
        <v>1</v>
      </c>
      <c r="AI806" s="8">
        <f>1/AH806</f>
        <v>1</v>
      </c>
      <c r="AJ806" s="8">
        <f>8.33*AI806</f>
        <v>8.33</v>
      </c>
    </row>
    <row r="807" spans="1:36" x14ac:dyDescent="0.2">
      <c r="A807">
        <v>-130</v>
      </c>
      <c r="B807" s="10" t="s">
        <v>83</v>
      </c>
      <c r="C807" s="11" t="s">
        <v>39</v>
      </c>
      <c r="D807" s="15" t="s">
        <v>1700</v>
      </c>
      <c r="E807" s="13">
        <v>11</v>
      </c>
      <c r="F807" s="13">
        <v>2</v>
      </c>
      <c r="G807" s="13">
        <f t="shared" si="36"/>
        <v>31</v>
      </c>
      <c r="H807" s="13">
        <v>130</v>
      </c>
      <c r="I807" s="14">
        <f t="shared" si="37"/>
        <v>-129.88493150684931</v>
      </c>
      <c r="J807" s="15" t="s">
        <v>1701</v>
      </c>
      <c r="T807" s="8"/>
      <c r="U807">
        <v>900</v>
      </c>
      <c r="V807" s="17">
        <v>900</v>
      </c>
      <c r="W807" s="16">
        <f>1000/V807</f>
        <v>1.1111111111111112</v>
      </c>
      <c r="X807" s="16">
        <f>8.33*W807</f>
        <v>9.2555555555555564</v>
      </c>
    </row>
    <row r="808" spans="1:36" x14ac:dyDescent="0.2">
      <c r="A808">
        <v>-130</v>
      </c>
      <c r="B808" s="10" t="s">
        <v>83</v>
      </c>
      <c r="C808" s="11" t="s">
        <v>42</v>
      </c>
      <c r="D808" s="15" t="s">
        <v>1702</v>
      </c>
      <c r="E808" s="13">
        <v>21</v>
      </c>
      <c r="F808" s="13">
        <v>2</v>
      </c>
      <c r="G808" s="13">
        <f t="shared" si="36"/>
        <v>31</v>
      </c>
      <c r="H808" s="13">
        <v>130</v>
      </c>
      <c r="I808" s="14">
        <f t="shared" si="37"/>
        <v>-129.85753424657534</v>
      </c>
      <c r="J808" s="15" t="s">
        <v>1703</v>
      </c>
      <c r="T808" s="8"/>
    </row>
    <row r="809" spans="1:36" x14ac:dyDescent="0.2">
      <c r="A809">
        <v>-130</v>
      </c>
      <c r="B809" s="10" t="s">
        <v>1570</v>
      </c>
      <c r="C809" s="11" t="s">
        <v>45</v>
      </c>
      <c r="D809" s="15" t="s">
        <v>1704</v>
      </c>
      <c r="E809" s="13">
        <v>3</v>
      </c>
      <c r="F809" s="13">
        <v>3</v>
      </c>
      <c r="G809" s="13">
        <f t="shared" si="36"/>
        <v>59</v>
      </c>
      <c r="H809" s="13">
        <v>130</v>
      </c>
      <c r="I809" s="14">
        <f t="shared" si="37"/>
        <v>-129.83013698630137</v>
      </c>
      <c r="J809" s="15" t="s">
        <v>1705</v>
      </c>
      <c r="T809" s="8"/>
      <c r="U809" t="s">
        <v>1706</v>
      </c>
      <c r="V809" s="20">
        <v>972</v>
      </c>
      <c r="W809" s="19">
        <f>1000/V809</f>
        <v>1.0288065843621399</v>
      </c>
      <c r="X809" s="19">
        <f>8.33*W809</f>
        <v>8.5699588477366255</v>
      </c>
    </row>
    <row r="810" spans="1:36" x14ac:dyDescent="0.2">
      <c r="A810">
        <v>-130</v>
      </c>
      <c r="B810" s="10" t="s">
        <v>127</v>
      </c>
      <c r="C810" s="11" t="s">
        <v>39</v>
      </c>
      <c r="D810" s="15" t="s">
        <v>1707</v>
      </c>
      <c r="E810" s="13">
        <v>13</v>
      </c>
      <c r="F810" s="13">
        <v>3</v>
      </c>
      <c r="G810" s="13">
        <f t="shared" si="36"/>
        <v>59</v>
      </c>
      <c r="H810" s="13">
        <v>130</v>
      </c>
      <c r="I810" s="14">
        <f t="shared" si="37"/>
        <v>-129.8027397260274</v>
      </c>
      <c r="J810" s="15" t="s">
        <v>1708</v>
      </c>
      <c r="K810" s="10">
        <v>96</v>
      </c>
      <c r="L810" s="16">
        <v>96</v>
      </c>
      <c r="M810" s="16">
        <f>1000/L810</f>
        <v>10.416666666666666</v>
      </c>
      <c r="N810" s="16">
        <f>8.33*M810</f>
        <v>86.770833333333329</v>
      </c>
      <c r="O810" s="16">
        <f>1.613*N810</f>
        <v>139.96135416666667</v>
      </c>
      <c r="T810" s="8"/>
    </row>
    <row r="811" spans="1:36" x14ac:dyDescent="0.2">
      <c r="A811">
        <v>-130</v>
      </c>
      <c r="B811" s="10" t="s">
        <v>127</v>
      </c>
      <c r="C811" s="11" t="s">
        <v>42</v>
      </c>
      <c r="D811" s="15" t="s">
        <v>1709</v>
      </c>
      <c r="E811" s="13">
        <v>23</v>
      </c>
      <c r="F811" s="13">
        <v>3</v>
      </c>
      <c r="G811" s="13">
        <f t="shared" si="36"/>
        <v>59</v>
      </c>
      <c r="H811" s="13">
        <v>130</v>
      </c>
      <c r="I811" s="14">
        <f t="shared" si="37"/>
        <v>-129.77534246575343</v>
      </c>
      <c r="J811" s="15" t="s">
        <v>1710</v>
      </c>
      <c r="T811" s="8"/>
    </row>
    <row r="812" spans="1:36" x14ac:dyDescent="0.2">
      <c r="A812">
        <v>-130</v>
      </c>
      <c r="B812" s="10" t="s">
        <v>127</v>
      </c>
      <c r="C812" s="11" t="s">
        <v>1711</v>
      </c>
      <c r="D812" s="32" t="s">
        <v>1710</v>
      </c>
      <c r="E812" s="13">
        <v>1</v>
      </c>
      <c r="F812" s="13">
        <v>4</v>
      </c>
      <c r="G812" s="13">
        <f t="shared" si="36"/>
        <v>90</v>
      </c>
      <c r="H812" s="13">
        <v>130</v>
      </c>
      <c r="I812" s="14">
        <f t="shared" si="37"/>
        <v>-129.75068493150684</v>
      </c>
      <c r="J812" s="7" t="s">
        <v>1712</v>
      </c>
      <c r="P812">
        <v>252</v>
      </c>
      <c r="Q812" s="17">
        <v>252</v>
      </c>
      <c r="R812" s="16">
        <f>1000/Q812</f>
        <v>3.9682539682539684</v>
      </c>
      <c r="S812" s="16">
        <f>8.33*R812</f>
        <v>33.055555555555557</v>
      </c>
      <c r="T812" s="16">
        <f>S812*1.33</f>
        <v>43.963888888888896</v>
      </c>
    </row>
    <row r="813" spans="1:36" x14ac:dyDescent="0.2">
      <c r="A813">
        <v>-130</v>
      </c>
      <c r="B813" s="10" t="s">
        <v>127</v>
      </c>
      <c r="C813" s="11" t="s">
        <v>45</v>
      </c>
      <c r="D813" s="15" t="s">
        <v>1713</v>
      </c>
      <c r="E813" s="13">
        <v>2</v>
      </c>
      <c r="F813" s="13">
        <v>4</v>
      </c>
      <c r="G813" s="13">
        <f t="shared" si="36"/>
        <v>90</v>
      </c>
      <c r="H813" s="13">
        <v>130</v>
      </c>
      <c r="I813" s="14">
        <f t="shared" si="37"/>
        <v>-129.74794520547945</v>
      </c>
      <c r="J813" s="15" t="s">
        <v>1714</v>
      </c>
      <c r="T813" s="8"/>
    </row>
    <row r="814" spans="1:36" x14ac:dyDescent="0.2">
      <c r="A814">
        <v>-129</v>
      </c>
      <c r="B814" s="10" t="s">
        <v>60</v>
      </c>
      <c r="C814" s="11" t="s">
        <v>39</v>
      </c>
      <c r="D814" s="15" t="s">
        <v>1715</v>
      </c>
      <c r="E814" s="13">
        <v>11</v>
      </c>
      <c r="F814" s="13">
        <v>4</v>
      </c>
      <c r="G814" s="13">
        <f t="shared" si="36"/>
        <v>90</v>
      </c>
      <c r="H814" s="13">
        <v>130</v>
      </c>
      <c r="I814" s="14">
        <f t="shared" si="37"/>
        <v>-129.72328767123287</v>
      </c>
      <c r="J814" s="15" t="s">
        <v>1716</v>
      </c>
      <c r="K814" s="10">
        <v>108</v>
      </c>
      <c r="L814" s="16">
        <v>108</v>
      </c>
      <c r="M814" s="16">
        <f>1000/L814</f>
        <v>9.2592592592592595</v>
      </c>
      <c r="N814" s="16">
        <f>8.33*M814</f>
        <v>77.129629629629633</v>
      </c>
      <c r="O814" s="16">
        <f>1.613*N814</f>
        <v>124.41009259259259</v>
      </c>
      <c r="T814" s="8"/>
      <c r="AC814" t="s">
        <v>1717</v>
      </c>
    </row>
    <row r="815" spans="1:36" x14ac:dyDescent="0.2">
      <c r="A815">
        <v>-129</v>
      </c>
      <c r="B815" s="10" t="s">
        <v>60</v>
      </c>
      <c r="C815" s="11" t="s">
        <v>42</v>
      </c>
      <c r="D815" s="15" t="s">
        <v>1718</v>
      </c>
      <c r="E815" s="13">
        <v>21</v>
      </c>
      <c r="F815" s="13">
        <v>4</v>
      </c>
      <c r="G815" s="13">
        <f t="shared" si="36"/>
        <v>90</v>
      </c>
      <c r="H815" s="13">
        <v>130</v>
      </c>
      <c r="I815" s="14">
        <f t="shared" si="37"/>
        <v>-129.6958904109589</v>
      </c>
      <c r="J815" s="15" t="s">
        <v>1719</v>
      </c>
      <c r="T815" s="8"/>
      <c r="AC815">
        <v>24</v>
      </c>
      <c r="AD815" s="17">
        <v>24</v>
      </c>
      <c r="AE815" s="16">
        <f>1000/AD815</f>
        <v>41.666666666666664</v>
      </c>
      <c r="AF815" s="16">
        <f>8.33*AE815</f>
        <v>347.08333333333331</v>
      </c>
    </row>
    <row r="816" spans="1:36" x14ac:dyDescent="0.2">
      <c r="A816">
        <v>-129</v>
      </c>
      <c r="B816" s="10" t="s">
        <v>60</v>
      </c>
      <c r="C816" s="11" t="s">
        <v>45</v>
      </c>
      <c r="D816" s="15" t="s">
        <v>1720</v>
      </c>
      <c r="E816" s="13">
        <v>1</v>
      </c>
      <c r="F816" s="13">
        <v>5</v>
      </c>
      <c r="G816" s="13">
        <f t="shared" si="36"/>
        <v>120</v>
      </c>
      <c r="H816" s="13">
        <v>130</v>
      </c>
      <c r="I816" s="14">
        <f t="shared" si="37"/>
        <v>-129.66849315068492</v>
      </c>
      <c r="J816" s="15" t="s">
        <v>1721</v>
      </c>
      <c r="T816" s="8"/>
      <c r="AC816">
        <v>25</v>
      </c>
      <c r="AD816" s="17">
        <v>25</v>
      </c>
      <c r="AE816" s="16">
        <f>1000/AD816</f>
        <v>40</v>
      </c>
      <c r="AF816" s="16">
        <f>8.33*AE816</f>
        <v>333.2</v>
      </c>
    </row>
    <row r="817" spans="1:37" x14ac:dyDescent="0.2">
      <c r="A817">
        <v>-129</v>
      </c>
      <c r="B817" s="10" t="s">
        <v>47</v>
      </c>
      <c r="D817" s="15" t="s">
        <v>1722</v>
      </c>
      <c r="E817" s="13">
        <v>11</v>
      </c>
      <c r="F817" s="13">
        <v>5</v>
      </c>
      <c r="G817" s="13">
        <f t="shared" si="36"/>
        <v>120</v>
      </c>
      <c r="H817" s="13">
        <v>130</v>
      </c>
      <c r="I817" s="14">
        <f t="shared" si="37"/>
        <v>-129.64109589041095</v>
      </c>
      <c r="J817" s="15" t="s">
        <v>1723</v>
      </c>
      <c r="K817" s="2">
        <v>114</v>
      </c>
      <c r="L817" s="8">
        <v>114</v>
      </c>
      <c r="M817" s="8">
        <f>1000/L817</f>
        <v>8.7719298245614041</v>
      </c>
      <c r="N817" s="8">
        <f>8.33*M817</f>
        <v>73.070175438596493</v>
      </c>
      <c r="O817" s="8">
        <f>1.613*N817</f>
        <v>117.86219298245614</v>
      </c>
      <c r="T817" s="8"/>
      <c r="AC817" s="1">
        <v>24</v>
      </c>
      <c r="AD817" s="9">
        <v>24</v>
      </c>
      <c r="AE817" s="8">
        <f>1000/AD817</f>
        <v>41.666666666666664</v>
      </c>
      <c r="AF817" s="8">
        <f>8.33*AE817</f>
        <v>347.08333333333331</v>
      </c>
      <c r="AG817" s="1">
        <v>2</v>
      </c>
      <c r="AH817" s="9">
        <v>2</v>
      </c>
      <c r="AI817" s="8">
        <f>1/AH817</f>
        <v>0.5</v>
      </c>
      <c r="AJ817" s="8">
        <f>8.33*AI817</f>
        <v>4.165</v>
      </c>
      <c r="AK817" t="s">
        <v>1724</v>
      </c>
    </row>
    <row r="818" spans="1:37" x14ac:dyDescent="0.2">
      <c r="A818">
        <v>-129</v>
      </c>
      <c r="B818" s="10" t="s">
        <v>47</v>
      </c>
      <c r="C818" s="11" t="s">
        <v>39</v>
      </c>
      <c r="D818" s="15" t="s">
        <v>1722</v>
      </c>
      <c r="E818" s="13">
        <v>11</v>
      </c>
      <c r="F818" s="13">
        <v>5</v>
      </c>
      <c r="G818" s="13">
        <f t="shared" si="36"/>
        <v>120</v>
      </c>
      <c r="H818" s="13">
        <v>130</v>
      </c>
      <c r="I818" s="14">
        <f t="shared" si="37"/>
        <v>-129.64109589041095</v>
      </c>
      <c r="J818" s="15" t="s">
        <v>1725</v>
      </c>
      <c r="P818">
        <v>240</v>
      </c>
      <c r="Q818" s="17">
        <v>240</v>
      </c>
      <c r="R818" s="16">
        <f>1000/Q818</f>
        <v>4.166666666666667</v>
      </c>
      <c r="S818" s="16">
        <f>8.33*R818</f>
        <v>34.708333333333336</v>
      </c>
      <c r="T818" s="16">
        <f>S818*1.33</f>
        <v>46.162083333333342</v>
      </c>
      <c r="Y818" t="s">
        <v>1189</v>
      </c>
    </row>
    <row r="819" spans="1:37" x14ac:dyDescent="0.2">
      <c r="A819">
        <v>-129</v>
      </c>
      <c r="B819" s="10" t="s">
        <v>47</v>
      </c>
      <c r="C819" s="11" t="s">
        <v>42</v>
      </c>
      <c r="D819" s="15" t="s">
        <v>1726</v>
      </c>
      <c r="E819" s="13">
        <v>21</v>
      </c>
      <c r="F819" s="13">
        <v>5</v>
      </c>
      <c r="G819" s="13">
        <f t="shared" si="36"/>
        <v>120</v>
      </c>
      <c r="H819" s="13">
        <v>130</v>
      </c>
      <c r="I819" s="14">
        <f t="shared" si="37"/>
        <v>-129.61369863013698</v>
      </c>
      <c r="J819" s="15" t="s">
        <v>1727</v>
      </c>
      <c r="T819" s="8"/>
    </row>
    <row r="820" spans="1:37" x14ac:dyDescent="0.2">
      <c r="A820">
        <v>-129</v>
      </c>
      <c r="B820" s="10" t="s">
        <v>47</v>
      </c>
      <c r="C820" s="11" t="s">
        <v>45</v>
      </c>
      <c r="D820" s="15" t="s">
        <v>1728</v>
      </c>
      <c r="E820" s="13">
        <v>31</v>
      </c>
      <c r="F820" s="13">
        <v>5</v>
      </c>
      <c r="G820" s="13">
        <f t="shared" si="36"/>
        <v>120</v>
      </c>
      <c r="H820" s="13">
        <v>130</v>
      </c>
      <c r="I820" s="14">
        <f t="shared" si="37"/>
        <v>-129.58630136986301</v>
      </c>
      <c r="J820" s="15" t="s">
        <v>1723</v>
      </c>
      <c r="T820" s="8"/>
    </row>
    <row r="821" spans="1:37" x14ac:dyDescent="0.2">
      <c r="A821">
        <v>-129</v>
      </c>
      <c r="B821" s="10" t="s">
        <v>130</v>
      </c>
      <c r="C821" s="11" t="s">
        <v>39</v>
      </c>
      <c r="D821" s="15" t="s">
        <v>1729</v>
      </c>
      <c r="E821" s="13">
        <v>10</v>
      </c>
      <c r="F821" s="13">
        <v>7</v>
      </c>
      <c r="G821" s="13">
        <f t="shared" si="36"/>
        <v>181</v>
      </c>
      <c r="H821" s="13">
        <v>130</v>
      </c>
      <c r="I821" s="14">
        <f t="shared" si="37"/>
        <v>-129.47671232876712</v>
      </c>
      <c r="J821" s="15" t="s">
        <v>1730</v>
      </c>
      <c r="K821" s="10" t="s">
        <v>1421</v>
      </c>
      <c r="L821" s="19">
        <v>135</v>
      </c>
      <c r="M821" s="19">
        <f>1000/L821</f>
        <v>7.4074074074074074</v>
      </c>
      <c r="N821" s="19">
        <f>8.33*M821</f>
        <v>61.703703703703702</v>
      </c>
      <c r="O821" s="19">
        <f>1.613*N821</f>
        <v>99.52807407407407</v>
      </c>
      <c r="T821" s="8"/>
      <c r="AC821">
        <v>21</v>
      </c>
      <c r="AD821" s="17">
        <v>21</v>
      </c>
      <c r="AE821" s="16">
        <f>1000/AD821</f>
        <v>47.61904761904762</v>
      </c>
      <c r="AF821" s="16">
        <f>8.33*AE821</f>
        <v>396.66666666666669</v>
      </c>
      <c r="AG821" s="1">
        <v>2.5</v>
      </c>
      <c r="AH821" s="9">
        <v>2.5</v>
      </c>
      <c r="AI821" s="8">
        <f>1/AH821</f>
        <v>0.4</v>
      </c>
      <c r="AJ821" s="8">
        <f>8.33*AI821</f>
        <v>3.3320000000000003</v>
      </c>
    </row>
    <row r="822" spans="1:37" x14ac:dyDescent="0.2">
      <c r="A822">
        <v>-129</v>
      </c>
      <c r="B822" s="10" t="s">
        <v>130</v>
      </c>
      <c r="C822" s="11" t="s">
        <v>42</v>
      </c>
      <c r="D822" s="15" t="s">
        <v>1731</v>
      </c>
      <c r="E822" s="13">
        <v>20</v>
      </c>
      <c r="F822" s="13">
        <v>7</v>
      </c>
      <c r="G822" s="13">
        <f t="shared" si="36"/>
        <v>181</v>
      </c>
      <c r="H822" s="13">
        <v>130</v>
      </c>
      <c r="I822" s="14">
        <f t="shared" si="37"/>
        <v>-129.44931506849315</v>
      </c>
      <c r="J822" s="15" t="s">
        <v>1732</v>
      </c>
      <c r="T822" s="8"/>
      <c r="Y822">
        <v>30</v>
      </c>
      <c r="Z822" s="17">
        <v>30</v>
      </c>
      <c r="AA822" s="16">
        <f>1000/Z822</f>
        <v>33.333333333333336</v>
      </c>
      <c r="AB822" s="16">
        <f>8.33*AA822</f>
        <v>277.66666666666669</v>
      </c>
    </row>
    <row r="823" spans="1:37" x14ac:dyDescent="0.2">
      <c r="A823">
        <v>-129</v>
      </c>
      <c r="B823" s="10" t="s">
        <v>130</v>
      </c>
      <c r="C823" s="11" t="s">
        <v>45</v>
      </c>
      <c r="D823" s="15" t="s">
        <v>1733</v>
      </c>
      <c r="E823" s="13">
        <v>30</v>
      </c>
      <c r="F823" s="13">
        <v>7</v>
      </c>
      <c r="G823" s="13">
        <f t="shared" si="36"/>
        <v>181</v>
      </c>
      <c r="H823" s="13">
        <v>130</v>
      </c>
      <c r="I823" s="14">
        <f t="shared" si="37"/>
        <v>-129.42191780821918</v>
      </c>
      <c r="J823" s="15" t="s">
        <v>1734</v>
      </c>
      <c r="T823" s="8"/>
      <c r="Y823" t="s">
        <v>41</v>
      </c>
    </row>
    <row r="824" spans="1:37" x14ac:dyDescent="0.2">
      <c r="A824">
        <v>-129</v>
      </c>
      <c r="B824" s="10" t="s">
        <v>130</v>
      </c>
      <c r="C824" s="11" t="s">
        <v>1622</v>
      </c>
      <c r="D824" s="7" t="s">
        <v>1735</v>
      </c>
      <c r="E824" s="13">
        <v>5</v>
      </c>
      <c r="F824" s="13">
        <v>8</v>
      </c>
      <c r="G824" s="13">
        <f t="shared" si="36"/>
        <v>212</v>
      </c>
      <c r="H824" s="13">
        <v>130</v>
      </c>
      <c r="I824" s="14">
        <f t="shared" si="37"/>
        <v>-129.40547945205481</v>
      </c>
      <c r="J824" s="7" t="s">
        <v>1734</v>
      </c>
      <c r="T824" s="8"/>
      <c r="AC824">
        <v>18</v>
      </c>
      <c r="AD824" s="17">
        <v>18</v>
      </c>
      <c r="AE824" s="16">
        <f>1000/AD824</f>
        <v>55.555555555555557</v>
      </c>
      <c r="AF824" s="16">
        <f>8.33*AE824</f>
        <v>462.77777777777777</v>
      </c>
    </row>
    <row r="825" spans="1:37" x14ac:dyDescent="0.2">
      <c r="A825">
        <v>-129</v>
      </c>
      <c r="B825" s="10" t="s">
        <v>362</v>
      </c>
      <c r="C825" s="11" t="s">
        <v>39</v>
      </c>
      <c r="D825" s="15" t="s">
        <v>1736</v>
      </c>
      <c r="E825" s="13">
        <v>8</v>
      </c>
      <c r="F825" s="13">
        <v>8</v>
      </c>
      <c r="G825" s="13">
        <f t="shared" si="36"/>
        <v>212</v>
      </c>
      <c r="H825" s="13">
        <v>130</v>
      </c>
      <c r="I825" s="14">
        <f t="shared" si="37"/>
        <v>-129.39726027397259</v>
      </c>
      <c r="J825" s="15" t="s">
        <v>1737</v>
      </c>
      <c r="T825" s="8"/>
      <c r="AC825">
        <v>18</v>
      </c>
      <c r="AD825" s="17">
        <v>18</v>
      </c>
      <c r="AE825" s="16">
        <f>1000/AD825</f>
        <v>55.555555555555557</v>
      </c>
      <c r="AF825" s="16">
        <f>8.33*AE825</f>
        <v>462.77777777777777</v>
      </c>
    </row>
    <row r="826" spans="1:37" x14ac:dyDescent="0.2">
      <c r="A826">
        <v>-129</v>
      </c>
      <c r="B826" s="10" t="s">
        <v>362</v>
      </c>
      <c r="C826" s="11" t="s">
        <v>42</v>
      </c>
      <c r="D826" s="15" t="s">
        <v>1738</v>
      </c>
      <c r="E826" s="13">
        <v>18</v>
      </c>
      <c r="F826" s="13">
        <v>8</v>
      </c>
      <c r="G826" s="13">
        <f t="shared" si="36"/>
        <v>212</v>
      </c>
      <c r="H826" s="13">
        <v>130</v>
      </c>
      <c r="I826" s="14">
        <f t="shared" si="37"/>
        <v>-129.36986301369862</v>
      </c>
      <c r="J826" s="15" t="s">
        <v>1739</v>
      </c>
      <c r="T826" s="8"/>
      <c r="AC826">
        <v>16.25</v>
      </c>
      <c r="AD826" s="17">
        <v>16.25</v>
      </c>
      <c r="AE826" s="16">
        <f>1000/AD826</f>
        <v>61.53846153846154</v>
      </c>
      <c r="AF826" s="16">
        <f>8.33*AE826</f>
        <v>512.61538461538464</v>
      </c>
    </row>
    <row r="827" spans="1:37" x14ac:dyDescent="0.2">
      <c r="A827">
        <v>-129</v>
      </c>
      <c r="B827" s="10" t="s">
        <v>285</v>
      </c>
      <c r="C827" s="11" t="s">
        <v>45</v>
      </c>
      <c r="D827" s="15" t="s">
        <v>1740</v>
      </c>
      <c r="E827" s="13">
        <v>28</v>
      </c>
      <c r="F827" s="13">
        <v>8</v>
      </c>
      <c r="G827" s="13">
        <f t="shared" si="36"/>
        <v>212</v>
      </c>
      <c r="H827" s="13">
        <v>130</v>
      </c>
      <c r="I827" s="14">
        <f t="shared" si="37"/>
        <v>-129.34246575342465</v>
      </c>
      <c r="J827" s="15" t="s">
        <v>1741</v>
      </c>
      <c r="T827" s="8"/>
    </row>
    <row r="828" spans="1:37" x14ac:dyDescent="0.2">
      <c r="A828">
        <v>-129</v>
      </c>
      <c r="B828" s="10" t="s">
        <v>72</v>
      </c>
      <c r="D828" s="15" t="s">
        <v>1742</v>
      </c>
      <c r="E828" s="13">
        <v>7</v>
      </c>
      <c r="F828" s="13">
        <v>9</v>
      </c>
      <c r="G828" s="13">
        <f t="shared" si="36"/>
        <v>243</v>
      </c>
      <c r="H828" s="13">
        <v>130</v>
      </c>
      <c r="I828" s="14">
        <f t="shared" si="37"/>
        <v>-129.31506849315068</v>
      </c>
      <c r="J828" s="15" t="s">
        <v>1743</v>
      </c>
      <c r="K828" s="10">
        <v>120</v>
      </c>
      <c r="L828" s="16">
        <v>120</v>
      </c>
      <c r="M828" s="16">
        <f>1000/L828</f>
        <v>8.3333333333333339</v>
      </c>
      <c r="N828" s="16">
        <f>8.33*M828</f>
        <v>69.416666666666671</v>
      </c>
      <c r="O828" s="16">
        <f>1.613*N828</f>
        <v>111.96908333333334</v>
      </c>
      <c r="P828" s="1">
        <v>240</v>
      </c>
      <c r="Q828" s="9">
        <v>240</v>
      </c>
      <c r="R828" s="8">
        <f>1000/Q828</f>
        <v>4.166666666666667</v>
      </c>
      <c r="S828" s="8">
        <f>8.33*R828</f>
        <v>34.708333333333336</v>
      </c>
      <c r="T828" s="8">
        <f>S828*1.33</f>
        <v>46.162083333333342</v>
      </c>
      <c r="U828" s="1">
        <v>540</v>
      </c>
      <c r="V828" s="9">
        <v>540</v>
      </c>
      <c r="W828" s="8">
        <f>1000/V828</f>
        <v>1.8518518518518519</v>
      </c>
      <c r="X828" s="8">
        <f>8.33*W828</f>
        <v>15.425925925925926</v>
      </c>
    </row>
    <row r="829" spans="1:37" x14ac:dyDescent="0.2">
      <c r="A829">
        <v>-126</v>
      </c>
      <c r="B829" s="10" t="s">
        <v>94</v>
      </c>
      <c r="D829" s="15" t="s">
        <v>1744</v>
      </c>
      <c r="E829" s="13">
        <v>1</v>
      </c>
      <c r="F829" s="13">
        <v>11</v>
      </c>
      <c r="G829" s="13">
        <f t="shared" si="36"/>
        <v>304</v>
      </c>
      <c r="H829" s="13">
        <v>127</v>
      </c>
      <c r="I829" s="14">
        <f t="shared" si="37"/>
        <v>-126.16438356164383</v>
      </c>
      <c r="J829" s="15" t="s">
        <v>1745</v>
      </c>
      <c r="P829" s="1"/>
      <c r="Q829" s="9"/>
      <c r="T829" s="8"/>
      <c r="U829" s="1"/>
      <c r="V829" s="9"/>
      <c r="AC829" s="1">
        <v>7.25</v>
      </c>
      <c r="AD829" s="9">
        <v>7.25</v>
      </c>
      <c r="AE829" s="8">
        <f>1000/AD829</f>
        <v>137.93103448275863</v>
      </c>
      <c r="AF829" s="8">
        <f>8.33*AE829</f>
        <v>1148.9655172413795</v>
      </c>
      <c r="AG829" s="1">
        <v>4</v>
      </c>
      <c r="AH829" s="9">
        <v>4</v>
      </c>
      <c r="AI829" s="8">
        <f>1/AH829</f>
        <v>0.25</v>
      </c>
      <c r="AJ829" s="8">
        <f>8.33*AI829</f>
        <v>2.0825</v>
      </c>
    </row>
    <row r="830" spans="1:37" x14ac:dyDescent="0.2">
      <c r="A830">
        <v>-126</v>
      </c>
      <c r="B830" s="10" t="s">
        <v>94</v>
      </c>
      <c r="C830" s="11" t="s">
        <v>39</v>
      </c>
      <c r="D830" s="15" t="s">
        <v>1744</v>
      </c>
      <c r="E830" s="13">
        <v>1</v>
      </c>
      <c r="F830" s="13">
        <v>11</v>
      </c>
      <c r="G830" s="13">
        <f t="shared" si="36"/>
        <v>304</v>
      </c>
      <c r="H830" s="13">
        <v>127</v>
      </c>
      <c r="I830" s="14">
        <f t="shared" si="37"/>
        <v>-126.16438356164383</v>
      </c>
      <c r="J830" s="15" t="s">
        <v>1746</v>
      </c>
      <c r="K830" s="23"/>
      <c r="L830" s="19">
        <v>63</v>
      </c>
      <c r="M830" s="19">
        <f>1000/L830</f>
        <v>15.873015873015873</v>
      </c>
      <c r="N830" s="19">
        <f>8.33*M830</f>
        <v>132.22222222222223</v>
      </c>
      <c r="O830" s="19">
        <f>1.613*N830</f>
        <v>213.27444444444444</v>
      </c>
      <c r="P830" t="s">
        <v>1747</v>
      </c>
      <c r="Q830" s="20">
        <v>63</v>
      </c>
      <c r="R830" s="19">
        <f>1000/Q830</f>
        <v>15.873015873015873</v>
      </c>
      <c r="S830" s="19">
        <f>8.33*R830</f>
        <v>132.22222222222223</v>
      </c>
      <c r="T830" s="19">
        <f>S830*1.33</f>
        <v>175.85555555555558</v>
      </c>
    </row>
    <row r="831" spans="1:37" x14ac:dyDescent="0.2">
      <c r="A831">
        <v>-126</v>
      </c>
      <c r="B831" s="10" t="s">
        <v>94</v>
      </c>
      <c r="C831" s="11" t="s">
        <v>42</v>
      </c>
      <c r="D831" s="15" t="s">
        <v>1748</v>
      </c>
      <c r="E831" s="13">
        <v>21</v>
      </c>
      <c r="F831" s="13">
        <v>11</v>
      </c>
      <c r="G831" s="13">
        <f t="shared" si="36"/>
        <v>304</v>
      </c>
      <c r="H831" s="13">
        <v>127</v>
      </c>
      <c r="I831" s="14">
        <f t="shared" si="37"/>
        <v>-126.10958904109589</v>
      </c>
      <c r="J831" s="15" t="s">
        <v>1749</v>
      </c>
      <c r="T831" s="8"/>
      <c r="AC831" s="1"/>
      <c r="AD831" s="9"/>
      <c r="AG831" s="1"/>
      <c r="AH831" s="9"/>
    </row>
    <row r="832" spans="1:37" x14ac:dyDescent="0.2">
      <c r="A832">
        <v>-126</v>
      </c>
      <c r="B832" s="10" t="s">
        <v>94</v>
      </c>
      <c r="C832" s="11" t="s">
        <v>45</v>
      </c>
      <c r="D832" s="15" t="s">
        <v>1750</v>
      </c>
      <c r="E832" s="13">
        <v>21</v>
      </c>
      <c r="F832" s="13">
        <v>11</v>
      </c>
      <c r="G832" s="13">
        <f t="shared" si="36"/>
        <v>304</v>
      </c>
      <c r="H832" s="13">
        <v>127</v>
      </c>
      <c r="I832" s="14">
        <f t="shared" si="37"/>
        <v>-126.10958904109589</v>
      </c>
      <c r="J832" s="15" t="s">
        <v>1745</v>
      </c>
      <c r="T832" s="8"/>
    </row>
    <row r="833" spans="1:24" x14ac:dyDescent="0.2">
      <c r="A833">
        <v>-126</v>
      </c>
      <c r="B833" s="10" t="s">
        <v>94</v>
      </c>
      <c r="C833" s="11" t="s">
        <v>1751</v>
      </c>
      <c r="D833" s="7" t="s">
        <v>1752</v>
      </c>
      <c r="E833" s="13">
        <v>22</v>
      </c>
      <c r="F833" s="13">
        <v>11</v>
      </c>
      <c r="G833" s="13">
        <f t="shared" si="36"/>
        <v>304</v>
      </c>
      <c r="H833" s="13">
        <v>127</v>
      </c>
      <c r="I833" s="14">
        <f t="shared" si="37"/>
        <v>-126.10684931506849</v>
      </c>
      <c r="J833" s="7" t="s">
        <v>1753</v>
      </c>
      <c r="K833" s="23"/>
      <c r="L833" s="19"/>
      <c r="P833">
        <v>72</v>
      </c>
      <c r="Q833" s="17">
        <v>72</v>
      </c>
      <c r="R833" s="16">
        <f>1000/Q833</f>
        <v>13.888888888888889</v>
      </c>
      <c r="S833" s="16">
        <f>8.33*R833</f>
        <v>115.69444444444444</v>
      </c>
      <c r="T833" s="16">
        <f>S833*1.33</f>
        <v>153.87361111111113</v>
      </c>
    </row>
    <row r="834" spans="1:24" x14ac:dyDescent="0.2">
      <c r="A834">
        <v>-125</v>
      </c>
      <c r="B834" s="10" t="s">
        <v>60</v>
      </c>
      <c r="D834" s="15" t="s">
        <v>1754</v>
      </c>
      <c r="E834" s="13">
        <v>29</v>
      </c>
      <c r="F834" s="13">
        <v>3</v>
      </c>
      <c r="G834" s="13">
        <f t="shared" ref="G834:G897" si="38">INDEX(A$1502:A$1513,F834)</f>
        <v>59</v>
      </c>
      <c r="H834" s="13">
        <v>126</v>
      </c>
      <c r="I834" s="14">
        <f t="shared" si="37"/>
        <v>-125.75890410958904</v>
      </c>
      <c r="J834" s="7" t="s">
        <v>1755</v>
      </c>
      <c r="T834" s="8"/>
      <c r="U834" s="1">
        <v>720</v>
      </c>
      <c r="V834" s="9">
        <v>720</v>
      </c>
      <c r="W834" s="8">
        <f>1000/V834</f>
        <v>1.3888888888888888</v>
      </c>
      <c r="X834" s="8">
        <f>8.33*W834</f>
        <v>11.569444444444445</v>
      </c>
    </row>
    <row r="835" spans="1:24" x14ac:dyDescent="0.2">
      <c r="A835">
        <v>-125</v>
      </c>
      <c r="B835" s="10" t="s">
        <v>60</v>
      </c>
      <c r="C835" s="11" t="s">
        <v>39</v>
      </c>
      <c r="D835" s="15" t="s">
        <v>1754</v>
      </c>
      <c r="E835" s="13">
        <v>29</v>
      </c>
      <c r="F835" s="13">
        <v>3</v>
      </c>
      <c r="G835" s="13">
        <f t="shared" si="38"/>
        <v>59</v>
      </c>
      <c r="H835" s="13">
        <v>126</v>
      </c>
      <c r="I835" s="14">
        <f t="shared" ref="I835:I898" si="39">($E835+$G835)/365-$H835</f>
        <v>-125.75890410958904</v>
      </c>
      <c r="J835" s="15" t="s">
        <v>1756</v>
      </c>
      <c r="P835">
        <v>96</v>
      </c>
      <c r="Q835" s="17">
        <v>96</v>
      </c>
      <c r="R835" s="16">
        <f>1000/Q835</f>
        <v>10.416666666666666</v>
      </c>
      <c r="S835" s="16">
        <f>8.33*R835</f>
        <v>86.770833333333329</v>
      </c>
      <c r="T835" s="16">
        <f>S835*1.33</f>
        <v>115.40520833333333</v>
      </c>
    </row>
    <row r="836" spans="1:24" x14ac:dyDescent="0.2">
      <c r="A836">
        <v>-125</v>
      </c>
      <c r="B836" s="10" t="s">
        <v>60</v>
      </c>
      <c r="C836" s="11">
        <v>1</v>
      </c>
      <c r="D836" s="7" t="s">
        <v>1754</v>
      </c>
      <c r="E836" s="13">
        <v>29</v>
      </c>
      <c r="F836" s="13">
        <v>3</v>
      </c>
      <c r="G836" s="13">
        <f t="shared" si="38"/>
        <v>59</v>
      </c>
      <c r="H836" s="13">
        <v>126</v>
      </c>
      <c r="I836" s="14">
        <f t="shared" si="39"/>
        <v>-125.75890410958904</v>
      </c>
      <c r="K836" s="10">
        <v>20</v>
      </c>
      <c r="L836" s="16">
        <v>20</v>
      </c>
      <c r="M836" s="16">
        <f>1000/L836</f>
        <v>50</v>
      </c>
      <c r="N836" s="16">
        <f>8.33*M836</f>
        <v>416.5</v>
      </c>
      <c r="O836" s="16">
        <f>1.613*N836</f>
        <v>671.81449999999995</v>
      </c>
      <c r="T836" s="8"/>
    </row>
    <row r="837" spans="1:24" x14ac:dyDescent="0.2">
      <c r="A837">
        <v>-125</v>
      </c>
      <c r="B837" s="10" t="s">
        <v>60</v>
      </c>
      <c r="C837" s="11">
        <v>2</v>
      </c>
      <c r="D837" s="7" t="s">
        <v>1757</v>
      </c>
      <c r="E837" s="13">
        <v>30</v>
      </c>
      <c r="F837" s="13">
        <v>3</v>
      </c>
      <c r="G837" s="13">
        <f t="shared" si="38"/>
        <v>59</v>
      </c>
      <c r="H837" s="13">
        <v>126</v>
      </c>
      <c r="I837" s="14">
        <f t="shared" si="39"/>
        <v>-125.75616438356164</v>
      </c>
      <c r="K837" s="10">
        <v>22.5</v>
      </c>
      <c r="L837" s="16">
        <v>22.5</v>
      </c>
      <c r="M837" s="16">
        <f>1000/L837</f>
        <v>44.444444444444443</v>
      </c>
      <c r="N837" s="16">
        <f>8.33*M837</f>
        <v>370.22222222222223</v>
      </c>
      <c r="O837" s="16">
        <f>1.613*N837</f>
        <v>597.1684444444445</v>
      </c>
      <c r="T837" s="8"/>
    </row>
    <row r="838" spans="1:24" x14ac:dyDescent="0.2">
      <c r="A838">
        <v>-125</v>
      </c>
      <c r="B838" s="10" t="s">
        <v>60</v>
      </c>
      <c r="C838" s="11" t="s">
        <v>1758</v>
      </c>
      <c r="D838" s="7" t="s">
        <v>1759</v>
      </c>
      <c r="E838" s="13">
        <v>31</v>
      </c>
      <c r="F838" s="13">
        <v>3</v>
      </c>
      <c r="G838" s="13">
        <f t="shared" si="38"/>
        <v>59</v>
      </c>
      <c r="H838" s="13">
        <v>126</v>
      </c>
      <c r="I838" s="14">
        <f t="shared" si="39"/>
        <v>-125.75342465753425</v>
      </c>
      <c r="J838" s="7" t="s">
        <v>1760</v>
      </c>
      <c r="K838" s="10">
        <v>24</v>
      </c>
      <c r="L838" s="16">
        <v>24</v>
      </c>
      <c r="M838" s="16">
        <f>1000/L838</f>
        <v>41.666666666666664</v>
      </c>
      <c r="N838" s="16">
        <f>8.33*M838</f>
        <v>347.08333333333331</v>
      </c>
      <c r="O838" s="16">
        <f>1.613*N838</f>
        <v>559.84541666666667</v>
      </c>
      <c r="T838" s="8"/>
    </row>
    <row r="839" spans="1:24" x14ac:dyDescent="0.2">
      <c r="A839">
        <v>-125</v>
      </c>
      <c r="B839" s="10" t="s">
        <v>60</v>
      </c>
      <c r="C839" s="11" t="s">
        <v>343</v>
      </c>
      <c r="D839" s="7" t="s">
        <v>1761</v>
      </c>
      <c r="E839" s="13">
        <v>3</v>
      </c>
      <c r="F839" s="13">
        <v>4</v>
      </c>
      <c r="G839" s="13">
        <f t="shared" si="38"/>
        <v>90</v>
      </c>
      <c r="H839" s="13">
        <v>126</v>
      </c>
      <c r="I839" s="14">
        <f t="shared" si="39"/>
        <v>-125.74520547945205</v>
      </c>
      <c r="J839" s="7" t="s">
        <v>1762</v>
      </c>
      <c r="K839" s="10">
        <v>30</v>
      </c>
      <c r="L839" s="16">
        <v>30</v>
      </c>
      <c r="M839" s="16">
        <f>1000/L839</f>
        <v>33.333333333333336</v>
      </c>
      <c r="N839" s="16">
        <f>8.33*M839</f>
        <v>277.66666666666669</v>
      </c>
      <c r="O839" s="16">
        <f>1.613*N839</f>
        <v>447.87633333333338</v>
      </c>
      <c r="T839" s="8"/>
    </row>
    <row r="840" spans="1:24" x14ac:dyDescent="0.2">
      <c r="A840">
        <v>-125</v>
      </c>
      <c r="B840" s="10" t="s">
        <v>60</v>
      </c>
      <c r="C840" s="11" t="s">
        <v>1763</v>
      </c>
      <c r="D840" s="7" t="s">
        <v>1764</v>
      </c>
      <c r="E840" s="13">
        <v>5</v>
      </c>
      <c r="F840" s="13">
        <v>4</v>
      </c>
      <c r="G840" s="13">
        <f t="shared" si="38"/>
        <v>90</v>
      </c>
      <c r="H840" s="13">
        <v>126</v>
      </c>
      <c r="I840" s="14">
        <f t="shared" si="39"/>
        <v>-125.73972602739725</v>
      </c>
      <c r="J840" s="7" t="s">
        <v>1765</v>
      </c>
      <c r="K840" s="10">
        <v>28</v>
      </c>
      <c r="L840" s="16">
        <v>28</v>
      </c>
      <c r="M840" s="16">
        <f>1000/L840</f>
        <v>35.714285714285715</v>
      </c>
      <c r="N840" s="16">
        <f>8.33*M840</f>
        <v>297.5</v>
      </c>
      <c r="O840" s="16">
        <f>1.613*N840</f>
        <v>479.86750000000001</v>
      </c>
      <c r="T840" s="8"/>
    </row>
    <row r="841" spans="1:24" x14ac:dyDescent="0.2">
      <c r="A841">
        <v>-125</v>
      </c>
      <c r="B841" s="10" t="s">
        <v>60</v>
      </c>
      <c r="C841" s="11" t="s">
        <v>1766</v>
      </c>
      <c r="D841" s="25" t="s">
        <v>1756</v>
      </c>
      <c r="E841" s="13">
        <v>7</v>
      </c>
      <c r="F841" s="13">
        <v>4</v>
      </c>
      <c r="G841" s="13">
        <f t="shared" si="38"/>
        <v>90</v>
      </c>
      <c r="H841" s="13">
        <v>126</v>
      </c>
      <c r="I841" s="14">
        <f t="shared" si="39"/>
        <v>-125.73424657534247</v>
      </c>
      <c r="J841" s="7" t="s">
        <v>1767</v>
      </c>
      <c r="P841">
        <v>66</v>
      </c>
      <c r="Q841" s="17">
        <v>66</v>
      </c>
      <c r="R841" s="16">
        <f>1000/Q841</f>
        <v>15.151515151515152</v>
      </c>
      <c r="S841" s="16">
        <f>8.33*R841</f>
        <v>126.21212121212122</v>
      </c>
      <c r="T841" s="16">
        <f>S841*1.33</f>
        <v>167.86212121212122</v>
      </c>
    </row>
    <row r="842" spans="1:24" x14ac:dyDescent="0.2">
      <c r="A842">
        <v>-125</v>
      </c>
      <c r="B842" s="10" t="s">
        <v>60</v>
      </c>
      <c r="C842" s="11" t="s">
        <v>1768</v>
      </c>
      <c r="D842" s="7" t="s">
        <v>1769</v>
      </c>
      <c r="E842" s="13">
        <v>9</v>
      </c>
      <c r="F842" s="13">
        <v>4</v>
      </c>
      <c r="G842" s="13">
        <f t="shared" si="38"/>
        <v>90</v>
      </c>
      <c r="H842" s="13">
        <v>126</v>
      </c>
      <c r="I842" s="14">
        <f t="shared" si="39"/>
        <v>-125.72876712328767</v>
      </c>
      <c r="J842" s="7" t="s">
        <v>1765</v>
      </c>
      <c r="P842">
        <v>72</v>
      </c>
      <c r="Q842" s="17">
        <v>72</v>
      </c>
      <c r="R842" s="16">
        <f>1000/Q842</f>
        <v>13.888888888888889</v>
      </c>
      <c r="S842" s="16">
        <f>8.33*R842</f>
        <v>115.69444444444444</v>
      </c>
      <c r="T842" s="16">
        <f>S842*1.33</f>
        <v>153.87361111111113</v>
      </c>
    </row>
    <row r="843" spans="1:24" x14ac:dyDescent="0.2">
      <c r="A843">
        <v>-125</v>
      </c>
      <c r="B843" s="10" t="s">
        <v>60</v>
      </c>
      <c r="C843" s="11" t="s">
        <v>1770</v>
      </c>
      <c r="D843" s="7" t="s">
        <v>1771</v>
      </c>
      <c r="E843" s="13">
        <v>13</v>
      </c>
      <c r="F843" s="13">
        <v>4</v>
      </c>
      <c r="G843" s="13">
        <f t="shared" si="38"/>
        <v>90</v>
      </c>
      <c r="H843" s="13">
        <v>126</v>
      </c>
      <c r="I843" s="14">
        <f t="shared" si="39"/>
        <v>-125.71780821917808</v>
      </c>
      <c r="J843" s="7" t="s">
        <v>1772</v>
      </c>
      <c r="P843">
        <v>81</v>
      </c>
      <c r="Q843" s="17">
        <v>81</v>
      </c>
      <c r="R843" s="16">
        <f>1000/Q843</f>
        <v>12.345679012345679</v>
      </c>
      <c r="S843" s="16">
        <f>8.33*R843</f>
        <v>102.83950617283951</v>
      </c>
      <c r="T843" s="16">
        <f>S843*1.33</f>
        <v>136.77654320987656</v>
      </c>
    </row>
    <row r="844" spans="1:24" x14ac:dyDescent="0.2">
      <c r="A844">
        <v>-125</v>
      </c>
      <c r="B844" s="10" t="s">
        <v>60</v>
      </c>
      <c r="C844" s="11" t="s">
        <v>1616</v>
      </c>
      <c r="D844" s="7" t="s">
        <v>1771</v>
      </c>
      <c r="E844" s="13">
        <v>13</v>
      </c>
      <c r="F844" s="13">
        <v>4</v>
      </c>
      <c r="G844" s="13">
        <f t="shared" si="38"/>
        <v>90</v>
      </c>
      <c r="H844" s="13">
        <v>126</v>
      </c>
      <c r="I844" s="14">
        <f t="shared" si="39"/>
        <v>-125.71780821917808</v>
      </c>
      <c r="J844" s="7" t="s">
        <v>1773</v>
      </c>
      <c r="K844" s="10">
        <v>30</v>
      </c>
      <c r="L844" s="16">
        <v>30</v>
      </c>
      <c r="M844" s="16">
        <f>1000/L844</f>
        <v>33.333333333333336</v>
      </c>
      <c r="N844" s="16">
        <f>8.33*M844</f>
        <v>277.66666666666669</v>
      </c>
      <c r="O844" s="16">
        <f>1.613*N844</f>
        <v>447.87633333333338</v>
      </c>
    </row>
    <row r="845" spans="1:24" x14ac:dyDescent="0.2">
      <c r="A845">
        <v>-125</v>
      </c>
      <c r="B845" s="10" t="s">
        <v>60</v>
      </c>
      <c r="C845" s="11" t="s">
        <v>1774</v>
      </c>
      <c r="D845" s="7" t="s">
        <v>1775</v>
      </c>
      <c r="E845" s="13">
        <v>15</v>
      </c>
      <c r="F845" s="13">
        <v>4</v>
      </c>
      <c r="G845" s="13">
        <f t="shared" si="38"/>
        <v>90</v>
      </c>
      <c r="H845" s="13">
        <v>126</v>
      </c>
      <c r="I845" s="14">
        <f t="shared" si="39"/>
        <v>-125.71232876712328</v>
      </c>
      <c r="J845" s="7" t="s">
        <v>1776</v>
      </c>
      <c r="P845">
        <v>90</v>
      </c>
      <c r="Q845" s="17">
        <v>90</v>
      </c>
      <c r="R845" s="16">
        <f>1000/Q845</f>
        <v>11.111111111111111</v>
      </c>
      <c r="S845" s="16">
        <f>8.33*R845</f>
        <v>92.555555555555557</v>
      </c>
      <c r="T845" s="16">
        <f>S845*1.33</f>
        <v>123.09888888888889</v>
      </c>
    </row>
    <row r="846" spans="1:24" x14ac:dyDescent="0.2">
      <c r="A846">
        <v>-125</v>
      </c>
      <c r="B846" s="10" t="s">
        <v>60</v>
      </c>
      <c r="C846" s="11" t="s">
        <v>1777</v>
      </c>
      <c r="D846" s="7" t="s">
        <v>1773</v>
      </c>
      <c r="E846" s="13">
        <v>17</v>
      </c>
      <c r="F846" s="13">
        <v>4</v>
      </c>
      <c r="G846" s="13">
        <f t="shared" si="38"/>
        <v>90</v>
      </c>
      <c r="H846" s="13">
        <v>126</v>
      </c>
      <c r="I846" s="14">
        <f t="shared" si="39"/>
        <v>-125.7068493150685</v>
      </c>
      <c r="J846" s="7" t="s">
        <v>1778</v>
      </c>
      <c r="P846">
        <v>93</v>
      </c>
      <c r="Q846" s="17">
        <v>93</v>
      </c>
      <c r="R846" s="16">
        <f>1000/Q846</f>
        <v>10.75268817204301</v>
      </c>
      <c r="S846" s="16">
        <f>8.33*R846</f>
        <v>89.569892473118273</v>
      </c>
      <c r="T846" s="16">
        <f>S846*1.33</f>
        <v>119.12795698924731</v>
      </c>
    </row>
    <row r="847" spans="1:24" x14ac:dyDescent="0.2">
      <c r="A847">
        <v>-125</v>
      </c>
      <c r="B847" s="10" t="s">
        <v>60</v>
      </c>
      <c r="C847" s="11" t="s">
        <v>1525</v>
      </c>
      <c r="D847" s="7" t="s">
        <v>1779</v>
      </c>
      <c r="E847" s="13">
        <v>18</v>
      </c>
      <c r="F847" s="13">
        <v>4</v>
      </c>
      <c r="G847" s="13">
        <f t="shared" si="38"/>
        <v>90</v>
      </c>
      <c r="H847" s="13">
        <v>126</v>
      </c>
      <c r="I847" s="14">
        <f t="shared" si="39"/>
        <v>-125.7041095890411</v>
      </c>
      <c r="J847" s="7" t="s">
        <v>1778</v>
      </c>
      <c r="K847" s="10" t="s">
        <v>41</v>
      </c>
    </row>
    <row r="848" spans="1:24" x14ac:dyDescent="0.2">
      <c r="A848">
        <v>-125</v>
      </c>
      <c r="B848" s="10" t="s">
        <v>60</v>
      </c>
      <c r="C848" s="11" t="s">
        <v>1418</v>
      </c>
      <c r="D848" s="7" t="s">
        <v>1780</v>
      </c>
      <c r="E848" s="13">
        <v>20</v>
      </c>
      <c r="F848" s="13">
        <v>4</v>
      </c>
      <c r="G848" s="13">
        <f t="shared" si="38"/>
        <v>90</v>
      </c>
      <c r="H848" s="13">
        <v>126</v>
      </c>
      <c r="I848" s="14">
        <f t="shared" si="39"/>
        <v>-125.6986301369863</v>
      </c>
      <c r="J848" s="7" t="s">
        <v>1781</v>
      </c>
      <c r="K848" s="10" t="s">
        <v>41</v>
      </c>
      <c r="P848">
        <v>99</v>
      </c>
      <c r="Q848" s="17">
        <v>99</v>
      </c>
      <c r="R848" s="16">
        <f>1000/Q848</f>
        <v>10.1010101010101</v>
      </c>
      <c r="S848" s="16">
        <f>8.33*R848</f>
        <v>84.141414141414131</v>
      </c>
      <c r="T848" s="16">
        <f>S848*1.33</f>
        <v>111.9080808080808</v>
      </c>
    </row>
    <row r="849" spans="1:20" x14ac:dyDescent="0.2">
      <c r="A849">
        <v>-125</v>
      </c>
      <c r="B849" s="10" t="s">
        <v>60</v>
      </c>
      <c r="C849" s="11" t="s">
        <v>1782</v>
      </c>
      <c r="D849" s="7" t="s">
        <v>1783</v>
      </c>
      <c r="E849" s="13">
        <v>22</v>
      </c>
      <c r="F849" s="13">
        <v>4</v>
      </c>
      <c r="G849" s="13">
        <f t="shared" si="38"/>
        <v>90</v>
      </c>
      <c r="H849" s="13">
        <v>126</v>
      </c>
      <c r="I849" s="14">
        <f t="shared" si="39"/>
        <v>-125.69315068493151</v>
      </c>
      <c r="J849" s="7" t="s">
        <v>1755</v>
      </c>
      <c r="K849" s="10">
        <v>20</v>
      </c>
      <c r="L849" s="16">
        <v>20</v>
      </c>
      <c r="M849" s="16">
        <f>1000/L849</f>
        <v>50</v>
      </c>
      <c r="N849" s="16">
        <f>8.33*M849</f>
        <v>416.5</v>
      </c>
      <c r="O849" s="16">
        <f>1.613*N849</f>
        <v>671.81449999999995</v>
      </c>
      <c r="P849">
        <v>72</v>
      </c>
      <c r="Q849" s="17">
        <v>72</v>
      </c>
      <c r="R849" s="16">
        <f>1000/Q849</f>
        <v>13.888888888888889</v>
      </c>
      <c r="S849" s="16">
        <f>8.33*R849</f>
        <v>115.69444444444444</v>
      </c>
      <c r="T849" s="16">
        <f>S849*1.33</f>
        <v>153.87361111111113</v>
      </c>
    </row>
    <row r="850" spans="1:20" x14ac:dyDescent="0.2">
      <c r="A850">
        <v>-125</v>
      </c>
      <c r="B850" s="10" t="s">
        <v>72</v>
      </c>
      <c r="C850" s="11" t="s">
        <v>39</v>
      </c>
      <c r="D850" s="15" t="s">
        <v>1784</v>
      </c>
      <c r="E850" s="13">
        <v>23</v>
      </c>
      <c r="F850" s="13">
        <v>8</v>
      </c>
      <c r="G850" s="13">
        <f t="shared" si="38"/>
        <v>212</v>
      </c>
      <c r="H850" s="13">
        <v>126</v>
      </c>
      <c r="I850" s="14">
        <f t="shared" si="39"/>
        <v>-125.35616438356165</v>
      </c>
      <c r="J850" s="15" t="s">
        <v>1785</v>
      </c>
    </row>
    <row r="851" spans="1:20" x14ac:dyDescent="0.2">
      <c r="A851">
        <v>-125</v>
      </c>
      <c r="B851" s="10" t="s">
        <v>72</v>
      </c>
      <c r="C851" s="11" t="s">
        <v>42</v>
      </c>
      <c r="D851" s="15" t="s">
        <v>1786</v>
      </c>
      <c r="E851" s="13">
        <v>2</v>
      </c>
      <c r="F851" s="13">
        <v>9</v>
      </c>
      <c r="G851" s="13">
        <f t="shared" si="38"/>
        <v>243</v>
      </c>
      <c r="H851" s="13">
        <v>126</v>
      </c>
      <c r="I851" s="14">
        <f t="shared" si="39"/>
        <v>-125.32876712328768</v>
      </c>
      <c r="J851" s="15" t="s">
        <v>1787</v>
      </c>
      <c r="K851" s="10">
        <v>30</v>
      </c>
      <c r="L851" s="16">
        <v>30</v>
      </c>
      <c r="M851" s="16">
        <f>1000/L851</f>
        <v>33.333333333333336</v>
      </c>
      <c r="N851" s="16">
        <f>8.33*M851</f>
        <v>277.66666666666669</v>
      </c>
      <c r="O851" s="16">
        <f>1.613*N851</f>
        <v>447.87633333333338</v>
      </c>
    </row>
    <row r="852" spans="1:20" x14ac:dyDescent="0.2">
      <c r="A852">
        <v>-125</v>
      </c>
      <c r="B852" s="10" t="s">
        <v>72</v>
      </c>
      <c r="C852" s="11" t="s">
        <v>45</v>
      </c>
      <c r="D852" s="26" t="s">
        <v>1788</v>
      </c>
      <c r="E852" s="13">
        <v>12</v>
      </c>
      <c r="F852" s="13">
        <v>9</v>
      </c>
      <c r="G852" s="13">
        <f t="shared" si="38"/>
        <v>243</v>
      </c>
      <c r="H852" s="13">
        <v>126</v>
      </c>
      <c r="I852" s="14">
        <f t="shared" si="39"/>
        <v>-125.3013698630137</v>
      </c>
      <c r="J852" s="26" t="s">
        <v>1789</v>
      </c>
    </row>
    <row r="853" spans="1:20" x14ac:dyDescent="0.2">
      <c r="A853">
        <v>-125</v>
      </c>
      <c r="B853" s="10" t="s">
        <v>288</v>
      </c>
      <c r="C853" s="11" t="s">
        <v>1790</v>
      </c>
      <c r="D853" s="7" t="s">
        <v>1791</v>
      </c>
      <c r="E853" s="13">
        <v>17</v>
      </c>
      <c r="F853" s="13">
        <v>9</v>
      </c>
      <c r="G853" s="13">
        <f t="shared" si="38"/>
        <v>243</v>
      </c>
      <c r="H853" s="13">
        <v>126</v>
      </c>
      <c r="I853" s="14">
        <f t="shared" si="39"/>
        <v>-125.28767123287672</v>
      </c>
      <c r="J853" s="7" t="s">
        <v>1789</v>
      </c>
      <c r="K853" s="10">
        <v>28</v>
      </c>
      <c r="L853" s="16">
        <v>28</v>
      </c>
      <c r="M853" s="16">
        <f>1000/L853</f>
        <v>35.714285714285715</v>
      </c>
      <c r="N853" s="16">
        <f>8.33*M853</f>
        <v>297.5</v>
      </c>
      <c r="O853" s="16">
        <f>1.613*N853</f>
        <v>479.86750000000001</v>
      </c>
    </row>
    <row r="854" spans="1:20" x14ac:dyDescent="0.2">
      <c r="A854">
        <v>-125</v>
      </c>
      <c r="B854" s="10" t="s">
        <v>185</v>
      </c>
      <c r="C854" s="11" t="s">
        <v>39</v>
      </c>
      <c r="D854" s="15" t="s">
        <v>1792</v>
      </c>
      <c r="E854" s="13">
        <v>17</v>
      </c>
      <c r="F854" s="13">
        <v>2</v>
      </c>
      <c r="G854" s="13">
        <f t="shared" si="38"/>
        <v>31</v>
      </c>
      <c r="H854" s="13">
        <v>125</v>
      </c>
      <c r="I854" s="14">
        <f t="shared" si="39"/>
        <v>-124.86849315068493</v>
      </c>
      <c r="J854" s="15" t="s">
        <v>1793</v>
      </c>
      <c r="K854" s="10" t="s">
        <v>346</v>
      </c>
      <c r="L854" s="19"/>
    </row>
    <row r="855" spans="1:20" x14ac:dyDescent="0.2">
      <c r="A855">
        <v>-125</v>
      </c>
      <c r="B855" s="10" t="s">
        <v>185</v>
      </c>
      <c r="C855" s="11" t="s">
        <v>42</v>
      </c>
      <c r="D855" s="15" t="s">
        <v>1794</v>
      </c>
      <c r="E855" s="13">
        <v>27</v>
      </c>
      <c r="F855" s="13">
        <v>2</v>
      </c>
      <c r="G855" s="13">
        <f t="shared" si="38"/>
        <v>31</v>
      </c>
      <c r="H855" s="13">
        <v>125</v>
      </c>
      <c r="I855" s="14">
        <f t="shared" si="39"/>
        <v>-124.84109589041095</v>
      </c>
      <c r="J855" s="15" t="s">
        <v>1795</v>
      </c>
      <c r="K855" s="10">
        <v>28</v>
      </c>
      <c r="L855" s="16">
        <v>28</v>
      </c>
      <c r="M855" s="16">
        <f>1000/L855</f>
        <v>35.714285714285715</v>
      </c>
      <c r="N855" s="16">
        <f>8.33*M855</f>
        <v>297.5</v>
      </c>
      <c r="O855" s="16">
        <f>1.613*N855</f>
        <v>479.86750000000001</v>
      </c>
    </row>
    <row r="856" spans="1:20" x14ac:dyDescent="0.2">
      <c r="A856">
        <v>-125</v>
      </c>
      <c r="B856" s="10" t="s">
        <v>185</v>
      </c>
      <c r="C856" s="11" t="s">
        <v>45</v>
      </c>
      <c r="D856" s="15" t="s">
        <v>1796</v>
      </c>
      <c r="E856" s="13">
        <v>8</v>
      </c>
      <c r="F856" s="13">
        <v>3</v>
      </c>
      <c r="G856" s="13">
        <f t="shared" si="38"/>
        <v>59</v>
      </c>
      <c r="H856" s="13">
        <v>125</v>
      </c>
      <c r="I856" s="14">
        <f t="shared" si="39"/>
        <v>-124.81643835616438</v>
      </c>
      <c r="J856" s="15" t="s">
        <v>1797</v>
      </c>
      <c r="K856" s="10">
        <v>30</v>
      </c>
      <c r="L856" s="16">
        <v>30</v>
      </c>
      <c r="M856" s="16">
        <f>1000/L856</f>
        <v>33.333333333333336</v>
      </c>
      <c r="N856" s="16">
        <f>8.33*M856</f>
        <v>277.66666666666669</v>
      </c>
      <c r="O856" s="16">
        <f>1.613*N856</f>
        <v>447.87633333333338</v>
      </c>
    </row>
    <row r="857" spans="1:20" x14ac:dyDescent="0.2">
      <c r="A857">
        <v>-124</v>
      </c>
      <c r="B857" s="10" t="s">
        <v>54</v>
      </c>
      <c r="C857" s="11" t="s">
        <v>39</v>
      </c>
      <c r="D857" s="15" t="s">
        <v>1798</v>
      </c>
      <c r="E857" s="13">
        <v>16</v>
      </c>
      <c r="F857" s="13">
        <v>4</v>
      </c>
      <c r="G857" s="13">
        <f t="shared" si="38"/>
        <v>90</v>
      </c>
      <c r="H857" s="13">
        <v>125</v>
      </c>
      <c r="I857" s="14">
        <f t="shared" si="39"/>
        <v>-124.7095890410959</v>
      </c>
      <c r="J857" s="15" t="s">
        <v>1799</v>
      </c>
      <c r="P857">
        <v>180</v>
      </c>
      <c r="Q857" s="17">
        <v>180</v>
      </c>
      <c r="R857" s="16">
        <f>1000/Q857</f>
        <v>5.5555555555555554</v>
      </c>
      <c r="S857" s="16">
        <f>8.33*R857</f>
        <v>46.277777777777779</v>
      </c>
      <c r="T857" s="16">
        <f>S857*1.33</f>
        <v>61.549444444444447</v>
      </c>
    </row>
    <row r="858" spans="1:20" x14ac:dyDescent="0.2">
      <c r="A858">
        <v>-124</v>
      </c>
      <c r="B858" s="10" t="s">
        <v>54</v>
      </c>
      <c r="C858" s="11" t="s">
        <v>42</v>
      </c>
      <c r="D858" s="15" t="s">
        <v>1800</v>
      </c>
      <c r="E858" s="13">
        <v>26</v>
      </c>
      <c r="F858" s="13">
        <v>4</v>
      </c>
      <c r="G858" s="13">
        <f t="shared" si="38"/>
        <v>90</v>
      </c>
      <c r="H858" s="13">
        <v>125</v>
      </c>
      <c r="I858" s="14">
        <f t="shared" si="39"/>
        <v>-124.68219178082192</v>
      </c>
      <c r="J858" s="15" t="s">
        <v>1801</v>
      </c>
      <c r="P858" t="s">
        <v>41</v>
      </c>
      <c r="T858" s="8"/>
    </row>
    <row r="859" spans="1:20" x14ac:dyDescent="0.2">
      <c r="A859">
        <v>-124</v>
      </c>
      <c r="B859" s="10" t="s">
        <v>54</v>
      </c>
      <c r="C859" s="11" t="s">
        <v>45</v>
      </c>
      <c r="D859" s="15" t="s">
        <v>1802</v>
      </c>
      <c r="E859" s="13">
        <v>6</v>
      </c>
      <c r="F859" s="13">
        <v>5</v>
      </c>
      <c r="G859" s="13">
        <f t="shared" si="38"/>
        <v>120</v>
      </c>
      <c r="H859" s="13">
        <v>125</v>
      </c>
      <c r="I859" s="14">
        <f t="shared" si="39"/>
        <v>-124.65479452054795</v>
      </c>
      <c r="J859" s="15" t="s">
        <v>1803</v>
      </c>
      <c r="T859" s="8"/>
    </row>
    <row r="860" spans="1:20" x14ac:dyDescent="0.2">
      <c r="A860">
        <v>-124</v>
      </c>
      <c r="B860" s="10" t="s">
        <v>1424</v>
      </c>
      <c r="C860" s="11" t="s">
        <v>39</v>
      </c>
      <c r="D860" s="15" t="s">
        <v>1804</v>
      </c>
      <c r="E860" s="13">
        <v>15</v>
      </c>
      <c r="F860" s="13">
        <v>5</v>
      </c>
      <c r="G860" s="13">
        <f t="shared" si="38"/>
        <v>120</v>
      </c>
      <c r="H860" s="13">
        <v>125</v>
      </c>
      <c r="I860" s="14">
        <f t="shared" si="39"/>
        <v>-124.63013698630137</v>
      </c>
      <c r="J860" s="15" t="s">
        <v>1805</v>
      </c>
      <c r="P860">
        <v>186</v>
      </c>
      <c r="Q860" s="17">
        <v>186</v>
      </c>
      <c r="R860" s="16">
        <f>1000/Q860</f>
        <v>5.376344086021505</v>
      </c>
      <c r="S860" s="16">
        <f>8.33*R860</f>
        <v>44.784946236559136</v>
      </c>
      <c r="T860" s="16">
        <f>S860*1.33</f>
        <v>59.563978494623655</v>
      </c>
    </row>
    <row r="861" spans="1:20" x14ac:dyDescent="0.2">
      <c r="A861">
        <v>-124</v>
      </c>
      <c r="B861" s="10" t="s">
        <v>47</v>
      </c>
      <c r="C861" s="11" t="s">
        <v>42</v>
      </c>
      <c r="D861" s="15" t="s">
        <v>1806</v>
      </c>
      <c r="E861" s="13">
        <v>25</v>
      </c>
      <c r="F861" s="13">
        <v>5</v>
      </c>
      <c r="G861" s="13">
        <f t="shared" si="38"/>
        <v>120</v>
      </c>
      <c r="H861" s="13">
        <v>125</v>
      </c>
      <c r="I861" s="14">
        <f t="shared" si="39"/>
        <v>-124.60273972602739</v>
      </c>
      <c r="J861" s="15" t="s">
        <v>1807</v>
      </c>
      <c r="T861" s="8"/>
    </row>
    <row r="862" spans="1:20" x14ac:dyDescent="0.2">
      <c r="A862">
        <v>-124</v>
      </c>
      <c r="B862" s="10" t="s">
        <v>47</v>
      </c>
      <c r="C862" s="11" t="s">
        <v>1808</v>
      </c>
      <c r="D862" s="7" t="s">
        <v>1806</v>
      </c>
      <c r="E862" s="13">
        <v>25</v>
      </c>
      <c r="F862" s="13">
        <v>5</v>
      </c>
      <c r="G862" s="13">
        <f t="shared" si="38"/>
        <v>120</v>
      </c>
      <c r="H862" s="13">
        <v>125</v>
      </c>
      <c r="I862" s="14">
        <f t="shared" si="39"/>
        <v>-124.60273972602739</v>
      </c>
      <c r="J862" s="7" t="s">
        <v>1809</v>
      </c>
      <c r="K862" s="10">
        <v>60</v>
      </c>
      <c r="L862" s="16">
        <v>60</v>
      </c>
      <c r="M862" s="16">
        <f>1000/L862</f>
        <v>16.666666666666668</v>
      </c>
      <c r="N862" s="16">
        <f>8.33*M862</f>
        <v>138.83333333333334</v>
      </c>
      <c r="O862" s="16">
        <f>1.613*N862</f>
        <v>223.93816666666669</v>
      </c>
      <c r="T862" s="8"/>
    </row>
    <row r="863" spans="1:20" x14ac:dyDescent="0.2">
      <c r="A863">
        <v>-124</v>
      </c>
      <c r="B863" s="10" t="s">
        <v>47</v>
      </c>
      <c r="C863" s="11" t="s">
        <v>1810</v>
      </c>
      <c r="D863" s="7" t="s">
        <v>1811</v>
      </c>
      <c r="E863" s="13">
        <v>30</v>
      </c>
      <c r="F863" s="13">
        <v>5</v>
      </c>
      <c r="G863" s="13">
        <f t="shared" si="38"/>
        <v>120</v>
      </c>
      <c r="H863" s="13">
        <v>125</v>
      </c>
      <c r="I863" s="14">
        <f t="shared" si="39"/>
        <v>-124.58904109589041</v>
      </c>
      <c r="J863" s="7" t="s">
        <v>1812</v>
      </c>
      <c r="K863" s="10">
        <v>87</v>
      </c>
      <c r="L863" s="16">
        <v>87</v>
      </c>
      <c r="M863" s="16">
        <f>1000/L863</f>
        <v>11.494252873563218</v>
      </c>
      <c r="N863" s="16">
        <f>8.33*M863</f>
        <v>95.747126436781599</v>
      </c>
      <c r="O863" s="16">
        <f>1.613*N863</f>
        <v>154.44011494252871</v>
      </c>
      <c r="T863" s="8"/>
    </row>
    <row r="864" spans="1:20" x14ac:dyDescent="0.2">
      <c r="A864">
        <v>-124</v>
      </c>
      <c r="B864" s="10" t="s">
        <v>47</v>
      </c>
      <c r="C864" s="11" t="s">
        <v>45</v>
      </c>
      <c r="D864" s="15" t="s">
        <v>1813</v>
      </c>
      <c r="E864" s="13">
        <v>4</v>
      </c>
      <c r="F864" s="13">
        <v>6</v>
      </c>
      <c r="G864" s="13">
        <f t="shared" si="38"/>
        <v>151</v>
      </c>
      <c r="H864" s="13">
        <v>125</v>
      </c>
      <c r="I864" s="14">
        <f t="shared" si="39"/>
        <v>-124.57534246575342</v>
      </c>
      <c r="J864" s="15" t="s">
        <v>1812</v>
      </c>
      <c r="P864" t="s">
        <v>835</v>
      </c>
      <c r="T864" s="8"/>
    </row>
    <row r="865" spans="1:37" x14ac:dyDescent="0.2">
      <c r="A865">
        <v>-124</v>
      </c>
      <c r="B865" s="10" t="s">
        <v>381</v>
      </c>
      <c r="C865" s="11" t="s">
        <v>39</v>
      </c>
      <c r="D865" s="15" t="s">
        <v>1814</v>
      </c>
      <c r="E865" s="13">
        <v>13</v>
      </c>
      <c r="F865" s="13">
        <v>6</v>
      </c>
      <c r="G865" s="13">
        <f t="shared" si="38"/>
        <v>151</v>
      </c>
      <c r="H865" s="13">
        <v>125</v>
      </c>
      <c r="I865" s="14">
        <f t="shared" si="39"/>
        <v>-124.55068493150685</v>
      </c>
      <c r="J865" s="15" t="s">
        <v>1815</v>
      </c>
      <c r="K865" s="10">
        <v>58</v>
      </c>
      <c r="L865" s="16">
        <v>58</v>
      </c>
      <c r="M865" s="16">
        <f>1000/L865</f>
        <v>17.241379310344829</v>
      </c>
      <c r="N865" s="16">
        <f>8.33*M865</f>
        <v>143.62068965517244</v>
      </c>
      <c r="O865" s="16">
        <f>1.613*N865</f>
        <v>231.66017241379313</v>
      </c>
      <c r="P865" t="s">
        <v>835</v>
      </c>
      <c r="T865" s="8"/>
    </row>
    <row r="866" spans="1:37" x14ac:dyDescent="0.2">
      <c r="A866">
        <v>-124</v>
      </c>
      <c r="B866" s="10" t="s">
        <v>381</v>
      </c>
      <c r="C866" s="11" t="s">
        <v>1816</v>
      </c>
      <c r="D866" s="25" t="s">
        <v>1817</v>
      </c>
      <c r="E866" s="13">
        <v>20</v>
      </c>
      <c r="F866" s="13">
        <v>6</v>
      </c>
      <c r="G866" s="13">
        <f t="shared" si="38"/>
        <v>151</v>
      </c>
      <c r="H866" s="13">
        <v>125</v>
      </c>
      <c r="I866" s="14">
        <f t="shared" si="39"/>
        <v>-124.53150684931506</v>
      </c>
      <c r="K866" s="10" t="s">
        <v>1818</v>
      </c>
      <c r="L866" s="19">
        <v>48</v>
      </c>
      <c r="M866" s="19">
        <f>1000/L866</f>
        <v>20.833333333333332</v>
      </c>
      <c r="N866" s="19">
        <f>8.33*M866</f>
        <v>173.54166666666666</v>
      </c>
      <c r="O866" s="19">
        <f>1.613*N866</f>
        <v>279.92270833333333</v>
      </c>
      <c r="T866" s="8"/>
      <c r="AK866" t="s">
        <v>1819</v>
      </c>
    </row>
    <row r="867" spans="1:37" x14ac:dyDescent="0.2">
      <c r="A867">
        <v>-124</v>
      </c>
      <c r="B867" s="10" t="s">
        <v>381</v>
      </c>
      <c r="C867" s="11" t="s">
        <v>42</v>
      </c>
      <c r="D867" s="15" t="s">
        <v>1820</v>
      </c>
      <c r="E867" s="13">
        <v>23</v>
      </c>
      <c r="F867" s="13">
        <v>6</v>
      </c>
      <c r="G867" s="13">
        <f t="shared" si="38"/>
        <v>151</v>
      </c>
      <c r="H867" s="13">
        <v>125</v>
      </c>
      <c r="I867" s="14">
        <f t="shared" si="39"/>
        <v>-124.52328767123288</v>
      </c>
      <c r="J867" s="15" t="s">
        <v>1821</v>
      </c>
      <c r="K867" s="10">
        <v>45</v>
      </c>
      <c r="L867" s="16">
        <v>45</v>
      </c>
      <c r="M867" s="16">
        <f>1000/L867</f>
        <v>22.222222222222221</v>
      </c>
      <c r="N867" s="16">
        <f>8.33*M867</f>
        <v>185.11111111111111</v>
      </c>
      <c r="O867" s="16">
        <f>1.613*N867</f>
        <v>298.58422222222225</v>
      </c>
      <c r="T867" s="8"/>
    </row>
    <row r="868" spans="1:37" x14ac:dyDescent="0.2">
      <c r="A868">
        <v>-124</v>
      </c>
      <c r="B868" s="10" t="s">
        <v>381</v>
      </c>
      <c r="C868" s="11" t="s">
        <v>45</v>
      </c>
      <c r="D868" s="15" t="s">
        <v>1822</v>
      </c>
      <c r="E868" s="13">
        <v>3</v>
      </c>
      <c r="F868" s="13">
        <v>7</v>
      </c>
      <c r="G868" s="13">
        <f t="shared" si="38"/>
        <v>181</v>
      </c>
      <c r="H868" s="13">
        <v>125</v>
      </c>
      <c r="I868" s="14">
        <f t="shared" si="39"/>
        <v>-124.49589041095891</v>
      </c>
      <c r="J868" s="15" t="s">
        <v>1823</v>
      </c>
      <c r="K868" s="10">
        <v>42</v>
      </c>
      <c r="L868" s="16">
        <v>42</v>
      </c>
      <c r="M868" s="16">
        <f>1000/L868</f>
        <v>23.80952380952381</v>
      </c>
      <c r="N868" s="16">
        <f>8.33*M868</f>
        <v>198.33333333333334</v>
      </c>
      <c r="O868" s="16">
        <f>1.613*N868</f>
        <v>319.91166666666669</v>
      </c>
      <c r="T868" s="8"/>
      <c r="V868" s="9"/>
      <c r="W868" s="8"/>
      <c r="X868" s="8"/>
    </row>
    <row r="869" spans="1:37" x14ac:dyDescent="0.2">
      <c r="A869">
        <v>-124</v>
      </c>
      <c r="B869" s="10" t="s">
        <v>130</v>
      </c>
      <c r="D869" s="15" t="s">
        <v>1824</v>
      </c>
      <c r="E869" s="13">
        <v>13</v>
      </c>
      <c r="F869" s="13">
        <v>7</v>
      </c>
      <c r="G869" s="13">
        <f t="shared" si="38"/>
        <v>181</v>
      </c>
      <c r="H869" s="13">
        <v>125</v>
      </c>
      <c r="I869" s="14">
        <f t="shared" si="39"/>
        <v>-124.46849315068494</v>
      </c>
      <c r="J869" s="15" t="s">
        <v>1825</v>
      </c>
      <c r="T869" s="8"/>
      <c r="U869" s="1">
        <v>216</v>
      </c>
      <c r="V869" s="9">
        <v>216</v>
      </c>
      <c r="W869" s="8">
        <f>1000/V869</f>
        <v>4.6296296296296298</v>
      </c>
      <c r="X869" s="8">
        <f>8.33*W869</f>
        <v>38.564814814814817</v>
      </c>
      <c r="AK869" t="s">
        <v>1826</v>
      </c>
    </row>
    <row r="870" spans="1:37" x14ac:dyDescent="0.2">
      <c r="A870">
        <v>-124</v>
      </c>
      <c r="B870" s="10" t="s">
        <v>1827</v>
      </c>
      <c r="C870" s="11" t="s">
        <v>39</v>
      </c>
      <c r="D870" s="15" t="s">
        <v>1824</v>
      </c>
      <c r="E870" s="13">
        <v>13</v>
      </c>
      <c r="F870" s="13">
        <v>7</v>
      </c>
      <c r="G870" s="13">
        <f t="shared" si="38"/>
        <v>181</v>
      </c>
      <c r="H870" s="13">
        <v>125</v>
      </c>
      <c r="I870" s="14">
        <f t="shared" si="39"/>
        <v>-124.46849315068494</v>
      </c>
      <c r="J870" s="15" t="s">
        <v>1828</v>
      </c>
      <c r="K870" s="10" t="s">
        <v>133</v>
      </c>
      <c r="P870">
        <v>168</v>
      </c>
      <c r="Q870" s="20">
        <v>168</v>
      </c>
      <c r="R870" s="19">
        <v>5.95</v>
      </c>
      <c r="S870" s="19">
        <v>49.58</v>
      </c>
      <c r="T870" s="19">
        <f>S870*1.33</f>
        <v>65.941400000000002</v>
      </c>
      <c r="V870" s="9"/>
    </row>
    <row r="871" spans="1:37" x14ac:dyDescent="0.2">
      <c r="A871">
        <v>-124</v>
      </c>
      <c r="B871" s="10" t="s">
        <v>1827</v>
      </c>
      <c r="C871" s="11" t="s">
        <v>42</v>
      </c>
      <c r="D871" s="15" t="s">
        <v>1829</v>
      </c>
      <c r="E871" s="13">
        <v>23</v>
      </c>
      <c r="F871" s="13">
        <v>7</v>
      </c>
      <c r="G871" s="13">
        <f t="shared" si="38"/>
        <v>181</v>
      </c>
      <c r="H871" s="13">
        <v>125</v>
      </c>
      <c r="I871" s="14">
        <f t="shared" si="39"/>
        <v>-124.44109589041096</v>
      </c>
      <c r="J871" s="15" t="s">
        <v>1830</v>
      </c>
      <c r="P871" t="s">
        <v>1831</v>
      </c>
      <c r="T871" s="8"/>
      <c r="U871">
        <v>252</v>
      </c>
      <c r="V871" s="17">
        <v>252</v>
      </c>
      <c r="W871" s="16">
        <f>1000/V871</f>
        <v>3.9682539682539684</v>
      </c>
      <c r="X871" s="16">
        <f>8.33*W871</f>
        <v>33.055555555555557</v>
      </c>
      <c r="AK871" t="s">
        <v>1832</v>
      </c>
    </row>
    <row r="872" spans="1:37" x14ac:dyDescent="0.2">
      <c r="A872">
        <v>-124</v>
      </c>
      <c r="B872" s="10" t="s">
        <v>1827</v>
      </c>
      <c r="C872" s="11" t="s">
        <v>45</v>
      </c>
      <c r="D872" s="15" t="s">
        <v>1833</v>
      </c>
      <c r="E872" s="13">
        <v>2</v>
      </c>
      <c r="F872" s="13">
        <v>8</v>
      </c>
      <c r="G872" s="13">
        <f t="shared" si="38"/>
        <v>212</v>
      </c>
      <c r="H872" s="13">
        <v>125</v>
      </c>
      <c r="I872" s="14">
        <f t="shared" si="39"/>
        <v>-124.41369863013699</v>
      </c>
      <c r="J872" s="15" t="s">
        <v>1825</v>
      </c>
      <c r="K872" s="10" t="s">
        <v>1834</v>
      </c>
      <c r="L872" s="16">
        <v>39</v>
      </c>
      <c r="M872" s="16">
        <f>1000/L872</f>
        <v>25.641025641025642</v>
      </c>
      <c r="N872" s="16">
        <f>8.33*M872</f>
        <v>213.58974358974359</v>
      </c>
      <c r="O872" s="16">
        <f>1.613*N872</f>
        <v>344.52025641025642</v>
      </c>
      <c r="P872">
        <v>162</v>
      </c>
      <c r="Q872" s="17">
        <v>162</v>
      </c>
      <c r="R872" s="16">
        <f>1000/Q872</f>
        <v>6.1728395061728394</v>
      </c>
      <c r="S872" s="16">
        <f>8.33*R872</f>
        <v>51.419753086419753</v>
      </c>
      <c r="T872" s="16">
        <f>S872*1.33</f>
        <v>68.388271604938282</v>
      </c>
    </row>
    <row r="873" spans="1:37" x14ac:dyDescent="0.2">
      <c r="A873">
        <v>-124</v>
      </c>
      <c r="B873" s="10" t="s">
        <v>285</v>
      </c>
      <c r="D873" s="15" t="s">
        <v>1835</v>
      </c>
      <c r="E873" s="13">
        <v>11</v>
      </c>
      <c r="F873" s="13">
        <v>8</v>
      </c>
      <c r="G873" s="13">
        <f t="shared" si="38"/>
        <v>212</v>
      </c>
      <c r="H873" s="13">
        <v>125</v>
      </c>
      <c r="I873" s="14">
        <f t="shared" si="39"/>
        <v>-124.38904109589041</v>
      </c>
      <c r="J873" s="15" t="s">
        <v>1836</v>
      </c>
      <c r="T873" s="8"/>
      <c r="U873" s="1">
        <v>282</v>
      </c>
      <c r="V873" s="9">
        <v>282</v>
      </c>
      <c r="W873" s="8">
        <f>1000/V873</f>
        <v>3.5460992907801416</v>
      </c>
      <c r="X873" s="8">
        <f>8.33*W873</f>
        <v>29.539007092198581</v>
      </c>
      <c r="Y873" s="1" t="s">
        <v>1837</v>
      </c>
      <c r="Z873" s="21">
        <v>10</v>
      </c>
      <c r="AA873" s="22">
        <f>1000/Z873</f>
        <v>100</v>
      </c>
      <c r="AB873" s="22">
        <f>8.33*AA873</f>
        <v>833</v>
      </c>
    </row>
    <row r="874" spans="1:37" x14ac:dyDescent="0.2">
      <c r="A874">
        <v>-124</v>
      </c>
      <c r="B874" s="10" t="s">
        <v>285</v>
      </c>
      <c r="C874" s="11" t="s">
        <v>39</v>
      </c>
      <c r="D874" s="15" t="s">
        <v>1835</v>
      </c>
      <c r="E874" s="13">
        <v>11</v>
      </c>
      <c r="F874" s="13">
        <v>8</v>
      </c>
      <c r="G874" s="13">
        <f t="shared" si="38"/>
        <v>212</v>
      </c>
      <c r="H874" s="13">
        <v>125</v>
      </c>
      <c r="I874" s="14">
        <f t="shared" si="39"/>
        <v>-124.38904109589041</v>
      </c>
      <c r="J874" s="15" t="s">
        <v>1838</v>
      </c>
      <c r="T874" s="8"/>
      <c r="Z874" s="9"/>
    </row>
    <row r="875" spans="1:37" x14ac:dyDescent="0.2">
      <c r="A875">
        <v>-124</v>
      </c>
      <c r="B875" s="10" t="s">
        <v>285</v>
      </c>
      <c r="C875" s="11" t="s">
        <v>42</v>
      </c>
      <c r="D875" s="15" t="s">
        <v>1839</v>
      </c>
      <c r="E875" s="13">
        <v>21</v>
      </c>
      <c r="F875" s="13">
        <v>8</v>
      </c>
      <c r="G875" s="13">
        <f t="shared" si="38"/>
        <v>212</v>
      </c>
      <c r="H875" s="13">
        <v>125</v>
      </c>
      <c r="I875" s="14">
        <f t="shared" si="39"/>
        <v>-124.36164383561643</v>
      </c>
      <c r="J875" s="15" t="s">
        <v>1840</v>
      </c>
      <c r="T875" s="8"/>
      <c r="U875" s="1"/>
      <c r="V875" s="9"/>
      <c r="Y875" s="1"/>
      <c r="Z875" s="9"/>
      <c r="AC875">
        <v>5</v>
      </c>
      <c r="AD875" s="17">
        <v>5</v>
      </c>
      <c r="AE875" s="16">
        <f>1000/AD875</f>
        <v>200</v>
      </c>
      <c r="AF875" s="16">
        <f>8.33*AE875</f>
        <v>1666</v>
      </c>
    </row>
    <row r="876" spans="1:37" x14ac:dyDescent="0.2">
      <c r="A876">
        <v>-124</v>
      </c>
      <c r="B876" s="10" t="s">
        <v>285</v>
      </c>
      <c r="C876" s="11" t="s">
        <v>45</v>
      </c>
      <c r="D876" s="15" t="s">
        <v>1841</v>
      </c>
      <c r="E876" s="13">
        <v>31</v>
      </c>
      <c r="F876" s="13">
        <v>8</v>
      </c>
      <c r="G876" s="13">
        <f t="shared" si="38"/>
        <v>212</v>
      </c>
      <c r="H876" s="13">
        <v>125</v>
      </c>
      <c r="I876" s="14">
        <f t="shared" si="39"/>
        <v>-124.33424657534246</v>
      </c>
      <c r="J876" s="15" t="s">
        <v>1836</v>
      </c>
      <c r="T876" s="8"/>
      <c r="U876" s="1"/>
      <c r="V876" s="9"/>
      <c r="Y876" s="1"/>
      <c r="Z876" s="9"/>
    </row>
    <row r="877" spans="1:37" x14ac:dyDescent="0.2">
      <c r="A877">
        <v>-124</v>
      </c>
      <c r="B877" s="10" t="s">
        <v>72</v>
      </c>
      <c r="C877" s="11" t="s">
        <v>39</v>
      </c>
      <c r="D877" s="15" t="s">
        <v>1842</v>
      </c>
      <c r="E877" s="13">
        <v>10</v>
      </c>
      <c r="F877" s="13">
        <v>9</v>
      </c>
      <c r="G877" s="13">
        <f t="shared" si="38"/>
        <v>243</v>
      </c>
      <c r="H877" s="13">
        <v>125</v>
      </c>
      <c r="I877" s="14">
        <f t="shared" si="39"/>
        <v>-124.30684931506849</v>
      </c>
      <c r="J877" s="15" t="s">
        <v>1843</v>
      </c>
      <c r="P877" t="s">
        <v>41</v>
      </c>
      <c r="T877" s="8"/>
    </row>
    <row r="878" spans="1:37" x14ac:dyDescent="0.2">
      <c r="A878">
        <v>-124</v>
      </c>
      <c r="B878" s="10" t="s">
        <v>72</v>
      </c>
      <c r="C878" s="11" t="s">
        <v>42</v>
      </c>
      <c r="D878" s="15" t="s">
        <v>1838</v>
      </c>
      <c r="E878" s="13">
        <v>20</v>
      </c>
      <c r="F878" s="13">
        <v>9</v>
      </c>
      <c r="G878" s="13">
        <f t="shared" si="38"/>
        <v>243</v>
      </c>
      <c r="H878" s="13">
        <v>125</v>
      </c>
      <c r="I878" s="14">
        <f t="shared" si="39"/>
        <v>-124.27945205479452</v>
      </c>
      <c r="J878" s="15" t="s">
        <v>1844</v>
      </c>
      <c r="K878" s="10" t="s">
        <v>1845</v>
      </c>
      <c r="L878" s="19">
        <v>24</v>
      </c>
      <c r="M878" s="19">
        <f>1000/L878</f>
        <v>41.666666666666664</v>
      </c>
      <c r="N878" s="19">
        <f>8.33*M878</f>
        <v>347.08333333333331</v>
      </c>
      <c r="O878" s="19">
        <f>1.613*N878</f>
        <v>559.84541666666667</v>
      </c>
      <c r="T878" s="8"/>
    </row>
    <row r="879" spans="1:37" x14ac:dyDescent="0.2">
      <c r="A879">
        <v>-124</v>
      </c>
      <c r="B879" s="10" t="s">
        <v>72</v>
      </c>
      <c r="C879" s="11" t="s">
        <v>45</v>
      </c>
      <c r="D879" s="15" t="s">
        <v>1840</v>
      </c>
      <c r="E879" s="13">
        <v>30</v>
      </c>
      <c r="F879" s="13">
        <v>9</v>
      </c>
      <c r="G879" s="13">
        <f t="shared" si="38"/>
        <v>243</v>
      </c>
      <c r="H879" s="13">
        <v>125</v>
      </c>
      <c r="I879" s="14">
        <f t="shared" si="39"/>
        <v>-124.25205479452055</v>
      </c>
      <c r="J879" s="15" t="s">
        <v>1846</v>
      </c>
      <c r="T879" s="8"/>
    </row>
    <row r="880" spans="1:37" x14ac:dyDescent="0.2">
      <c r="A880">
        <v>-124</v>
      </c>
      <c r="B880" s="10" t="s">
        <v>72</v>
      </c>
      <c r="C880" s="11" t="s">
        <v>1847</v>
      </c>
      <c r="D880" s="7" t="s">
        <v>1848</v>
      </c>
      <c r="E880" s="13">
        <v>3</v>
      </c>
      <c r="F880" s="13">
        <v>10</v>
      </c>
      <c r="G880" s="13">
        <f t="shared" si="38"/>
        <v>273</v>
      </c>
      <c r="H880" s="13">
        <v>125</v>
      </c>
      <c r="I880" s="14">
        <f t="shared" si="39"/>
        <v>-124.24383561643836</v>
      </c>
      <c r="J880" s="7" t="s">
        <v>1846</v>
      </c>
      <c r="K880" s="10" t="s">
        <v>1849</v>
      </c>
      <c r="L880" s="19">
        <v>26</v>
      </c>
      <c r="M880" s="19">
        <f>1000/L880</f>
        <v>38.46153846153846</v>
      </c>
      <c r="N880" s="19">
        <f>8.33*M880</f>
        <v>320.38461538461536</v>
      </c>
      <c r="O880" s="19">
        <f>1.613*N880</f>
        <v>516.78038461538461</v>
      </c>
      <c r="T880" s="8"/>
    </row>
    <row r="881" spans="1:36" x14ac:dyDescent="0.2">
      <c r="A881">
        <v>-124</v>
      </c>
      <c r="B881" s="10" t="s">
        <v>36</v>
      </c>
      <c r="D881" s="15" t="s">
        <v>1850</v>
      </c>
      <c r="E881" s="13">
        <v>8</v>
      </c>
      <c r="F881" s="13">
        <v>12</v>
      </c>
      <c r="G881" s="13">
        <f t="shared" si="38"/>
        <v>334</v>
      </c>
      <c r="H881" s="13">
        <v>125</v>
      </c>
      <c r="I881" s="14">
        <f t="shared" si="39"/>
        <v>-124.06301369863014</v>
      </c>
      <c r="J881" s="26" t="s">
        <v>1851</v>
      </c>
      <c r="L881" s="19"/>
      <c r="T881" s="8"/>
      <c r="AG881" s="1">
        <v>1</v>
      </c>
      <c r="AH881" s="9">
        <v>1</v>
      </c>
      <c r="AI881" s="8">
        <f>1/AH881</f>
        <v>1</v>
      </c>
      <c r="AJ881" s="8">
        <f>8.33*AI881</f>
        <v>8.33</v>
      </c>
    </row>
    <row r="882" spans="1:36" x14ac:dyDescent="0.2">
      <c r="A882">
        <v>-124</v>
      </c>
      <c r="B882" s="10" t="s">
        <v>36</v>
      </c>
      <c r="C882" s="11" t="s">
        <v>39</v>
      </c>
      <c r="D882" s="15" t="s">
        <v>1850</v>
      </c>
      <c r="E882" s="13">
        <v>8</v>
      </c>
      <c r="F882" s="13">
        <v>12</v>
      </c>
      <c r="G882" s="13">
        <f t="shared" si="38"/>
        <v>334</v>
      </c>
      <c r="H882" s="13">
        <v>125</v>
      </c>
      <c r="I882" s="14">
        <f t="shared" si="39"/>
        <v>-124.06301369863014</v>
      </c>
      <c r="J882" s="15" t="s">
        <v>1852</v>
      </c>
      <c r="K882" s="10">
        <v>20.5</v>
      </c>
      <c r="L882" s="16">
        <v>20.5</v>
      </c>
      <c r="M882" s="16">
        <f>1000/L882</f>
        <v>48.780487804878049</v>
      </c>
      <c r="N882" s="16">
        <f>8.33*M882</f>
        <v>406.34146341463418</v>
      </c>
      <c r="O882" s="16">
        <f>1.613*N882</f>
        <v>655.42878048780494</v>
      </c>
      <c r="P882">
        <v>105</v>
      </c>
      <c r="Q882" s="17">
        <v>105</v>
      </c>
      <c r="R882" s="16">
        <f>1000/Q882</f>
        <v>9.5238095238095237</v>
      </c>
      <c r="S882" s="16">
        <f>8.33*R882</f>
        <v>79.333333333333329</v>
      </c>
      <c r="T882" s="16">
        <f>S882*1.33</f>
        <v>105.51333333333334</v>
      </c>
      <c r="AC882">
        <v>9.5</v>
      </c>
      <c r="AD882" s="17">
        <v>9.5</v>
      </c>
      <c r="AE882" s="16">
        <f>1000/AD882</f>
        <v>105.26315789473684</v>
      </c>
      <c r="AF882" s="16">
        <f>8.33*AE882</f>
        <v>876.8421052631578</v>
      </c>
    </row>
    <row r="883" spans="1:36" x14ac:dyDescent="0.2">
      <c r="A883">
        <v>-124</v>
      </c>
      <c r="B883" s="10" t="s">
        <v>389</v>
      </c>
      <c r="C883" s="11" t="s">
        <v>42</v>
      </c>
      <c r="D883" s="15" t="s">
        <v>1853</v>
      </c>
      <c r="E883" s="13">
        <v>18</v>
      </c>
      <c r="F883" s="13">
        <v>12</v>
      </c>
      <c r="G883" s="13">
        <f t="shared" si="38"/>
        <v>334</v>
      </c>
      <c r="H883" s="13">
        <v>125</v>
      </c>
      <c r="I883" s="14">
        <f t="shared" si="39"/>
        <v>-124.03561643835616</v>
      </c>
      <c r="J883" s="15" t="s">
        <v>1854</v>
      </c>
      <c r="K883" s="10">
        <v>20</v>
      </c>
      <c r="L883" s="16">
        <v>20</v>
      </c>
      <c r="M883" s="16">
        <f>1000/L883</f>
        <v>50</v>
      </c>
      <c r="N883" s="16">
        <f>8.33*M883</f>
        <v>416.5</v>
      </c>
      <c r="O883" s="16">
        <f>1.613*N883</f>
        <v>671.81449999999995</v>
      </c>
      <c r="P883">
        <v>108</v>
      </c>
      <c r="Q883" s="17">
        <v>108</v>
      </c>
      <c r="R883" s="16">
        <f>1000/Q883</f>
        <v>9.2592592592592595</v>
      </c>
      <c r="S883" s="16">
        <f>8.33*R883</f>
        <v>77.129629629629633</v>
      </c>
      <c r="T883" s="16">
        <f>S883*1.33</f>
        <v>102.58240740740742</v>
      </c>
    </row>
    <row r="884" spans="1:36" x14ac:dyDescent="0.2">
      <c r="A884">
        <v>-124</v>
      </c>
      <c r="B884" s="10" t="s">
        <v>389</v>
      </c>
      <c r="C884" s="11" t="s">
        <v>1855</v>
      </c>
      <c r="D884" s="7" t="s">
        <v>1856</v>
      </c>
      <c r="E884" s="13">
        <v>23</v>
      </c>
      <c r="F884" s="13">
        <v>12</v>
      </c>
      <c r="G884" s="13">
        <f t="shared" si="38"/>
        <v>334</v>
      </c>
      <c r="H884" s="13">
        <v>125</v>
      </c>
      <c r="I884" s="14">
        <f t="shared" si="39"/>
        <v>-124.02191780821917</v>
      </c>
      <c r="J884" s="7" t="s">
        <v>1857</v>
      </c>
      <c r="P884" t="s">
        <v>1858</v>
      </c>
      <c r="Q884" s="20">
        <v>111</v>
      </c>
      <c r="R884" s="19">
        <f>1000/Q884</f>
        <v>9.0090090090090094</v>
      </c>
      <c r="S884" s="19">
        <f>8.33*R884</f>
        <v>75.045045045045043</v>
      </c>
      <c r="T884" s="16">
        <f>S884*1.33</f>
        <v>99.809909909909919</v>
      </c>
    </row>
    <row r="885" spans="1:36" x14ac:dyDescent="0.2">
      <c r="A885">
        <v>-124</v>
      </c>
      <c r="B885" s="10" t="s">
        <v>389</v>
      </c>
      <c r="C885" s="11" t="s">
        <v>45</v>
      </c>
      <c r="D885" s="15" t="s">
        <v>1859</v>
      </c>
      <c r="E885" s="13">
        <v>28</v>
      </c>
      <c r="F885" s="13">
        <v>12</v>
      </c>
      <c r="G885" s="13">
        <f t="shared" si="38"/>
        <v>334</v>
      </c>
      <c r="H885" s="13">
        <v>125</v>
      </c>
      <c r="I885" s="14">
        <f t="shared" si="39"/>
        <v>-124.00821917808219</v>
      </c>
      <c r="J885" s="15" t="s">
        <v>1851</v>
      </c>
      <c r="K885" s="10">
        <v>20.5</v>
      </c>
      <c r="L885" s="16">
        <v>20.5</v>
      </c>
      <c r="M885" s="16">
        <f>1000/L885</f>
        <v>48.780487804878049</v>
      </c>
      <c r="N885" s="16">
        <f>8.33*M885</f>
        <v>406.34146341463418</v>
      </c>
      <c r="O885" s="16">
        <f>1.613*N885</f>
        <v>655.42878048780494</v>
      </c>
      <c r="T885" s="8"/>
      <c r="AC885">
        <v>10</v>
      </c>
      <c r="AD885" s="17">
        <v>10</v>
      </c>
      <c r="AE885" s="16">
        <f>1000/AD885</f>
        <v>100</v>
      </c>
      <c r="AF885" s="16">
        <f>8.33*AE885</f>
        <v>833</v>
      </c>
    </row>
    <row r="886" spans="1:36" x14ac:dyDescent="0.2">
      <c r="A886">
        <v>-124</v>
      </c>
      <c r="B886" s="10" t="s">
        <v>75</v>
      </c>
      <c r="D886" s="15" t="s">
        <v>1860</v>
      </c>
      <c r="E886" s="13">
        <v>6</v>
      </c>
      <c r="F886" s="13">
        <v>1</v>
      </c>
      <c r="G886" s="13">
        <f t="shared" si="38"/>
        <v>0</v>
      </c>
      <c r="H886" s="13">
        <v>124</v>
      </c>
      <c r="I886" s="14">
        <f t="shared" si="39"/>
        <v>-123.98356164383561</v>
      </c>
      <c r="J886" s="15" t="s">
        <v>1861</v>
      </c>
      <c r="Q886" s="1"/>
      <c r="T886" s="8"/>
      <c r="U886" s="1">
        <v>624</v>
      </c>
      <c r="V886" s="9">
        <v>624</v>
      </c>
      <c r="W886" s="8">
        <f>1000/V886</f>
        <v>1.6025641025641026</v>
      </c>
      <c r="X886" s="8">
        <f>8.33*W886</f>
        <v>13.349358974358974</v>
      </c>
      <c r="Y886" s="30">
        <v>12</v>
      </c>
      <c r="Z886" s="21">
        <v>12</v>
      </c>
      <c r="AA886" s="22">
        <f>1000/Z886</f>
        <v>83.333333333333329</v>
      </c>
      <c r="AB886" s="22">
        <f>8.33*AA886</f>
        <v>694.16666666666663</v>
      </c>
      <c r="AC886" s="17"/>
      <c r="AD886" s="1"/>
      <c r="AG886" s="1">
        <v>0.67</v>
      </c>
      <c r="AH886" s="9">
        <v>0.67</v>
      </c>
      <c r="AI886" s="8">
        <f>1/AH886</f>
        <v>1.4925373134328357</v>
      </c>
      <c r="AJ886" s="8">
        <f>8.33*AI886</f>
        <v>12.432835820895521</v>
      </c>
    </row>
    <row r="887" spans="1:36" x14ac:dyDescent="0.2">
      <c r="A887">
        <v>-124</v>
      </c>
      <c r="B887" s="10" t="s">
        <v>75</v>
      </c>
      <c r="C887" s="11" t="s">
        <v>39</v>
      </c>
      <c r="D887" s="15" t="s">
        <v>1860</v>
      </c>
      <c r="E887" s="13">
        <v>6</v>
      </c>
      <c r="F887" s="13">
        <v>1</v>
      </c>
      <c r="G887" s="13">
        <f t="shared" si="38"/>
        <v>0</v>
      </c>
      <c r="H887" s="13">
        <v>124</v>
      </c>
      <c r="I887" s="14">
        <f t="shared" si="39"/>
        <v>-123.98356164383561</v>
      </c>
      <c r="J887" s="15" t="s">
        <v>1862</v>
      </c>
      <c r="T887" s="8"/>
    </row>
    <row r="888" spans="1:36" x14ac:dyDescent="0.2">
      <c r="A888">
        <v>-124</v>
      </c>
      <c r="B888" s="10" t="s">
        <v>75</v>
      </c>
      <c r="C888" s="11" t="s">
        <v>1539</v>
      </c>
      <c r="D888" s="7" t="s">
        <v>1860</v>
      </c>
      <c r="E888" s="13">
        <v>6</v>
      </c>
      <c r="F888" s="13">
        <v>1</v>
      </c>
      <c r="G888" s="13">
        <f t="shared" si="38"/>
        <v>0</v>
      </c>
      <c r="H888" s="13">
        <v>124</v>
      </c>
      <c r="I888" s="14">
        <f t="shared" si="39"/>
        <v>-123.98356164383561</v>
      </c>
      <c r="J888" s="7" t="s">
        <v>1863</v>
      </c>
      <c r="K888" s="10" t="s">
        <v>41</v>
      </c>
      <c r="T888" s="8"/>
    </row>
    <row r="889" spans="1:36" x14ac:dyDescent="0.2">
      <c r="A889">
        <v>-124</v>
      </c>
      <c r="B889" s="10" t="s">
        <v>75</v>
      </c>
      <c r="C889" s="11" t="s">
        <v>1541</v>
      </c>
      <c r="D889" s="7" t="s">
        <v>1864</v>
      </c>
      <c r="E889" s="13">
        <v>9</v>
      </c>
      <c r="F889" s="13">
        <v>1</v>
      </c>
      <c r="G889" s="13">
        <f t="shared" si="38"/>
        <v>0</v>
      </c>
      <c r="H889" s="13">
        <v>124</v>
      </c>
      <c r="I889" s="14">
        <f t="shared" si="39"/>
        <v>-123.97534246575343</v>
      </c>
      <c r="J889" s="7" t="s">
        <v>1865</v>
      </c>
      <c r="K889" s="10">
        <v>20.5</v>
      </c>
      <c r="L889" s="16">
        <v>20.5</v>
      </c>
      <c r="M889" s="16">
        <f>1000/L889</f>
        <v>48.780487804878049</v>
      </c>
      <c r="N889" s="16">
        <f>8.33*M889</f>
        <v>406.34146341463418</v>
      </c>
      <c r="O889" s="16">
        <f>1.613*N889</f>
        <v>655.42878048780494</v>
      </c>
      <c r="T889" s="8"/>
    </row>
    <row r="890" spans="1:36" x14ac:dyDescent="0.2">
      <c r="A890">
        <v>-124</v>
      </c>
      <c r="B890" s="10" t="s">
        <v>75</v>
      </c>
      <c r="C890" s="11" t="s">
        <v>1633</v>
      </c>
      <c r="D890" s="7" t="s">
        <v>1865</v>
      </c>
      <c r="E890" s="13">
        <v>10</v>
      </c>
      <c r="F890" s="13">
        <v>1</v>
      </c>
      <c r="G890" s="13">
        <f t="shared" si="38"/>
        <v>0</v>
      </c>
      <c r="H890" s="13">
        <v>124</v>
      </c>
      <c r="I890" s="14">
        <f t="shared" si="39"/>
        <v>-123.97260273972603</v>
      </c>
      <c r="J890" s="7" t="s">
        <v>1866</v>
      </c>
      <c r="P890">
        <v>66</v>
      </c>
      <c r="Q890" s="17">
        <v>66</v>
      </c>
      <c r="R890" s="16">
        <f>1000/Q890</f>
        <v>15.151515151515152</v>
      </c>
      <c r="S890" s="16">
        <f>8.33*R890</f>
        <v>126.21212121212122</v>
      </c>
      <c r="T890" s="16">
        <f>S890*1.33</f>
        <v>167.86212121212122</v>
      </c>
    </row>
    <row r="891" spans="1:36" x14ac:dyDescent="0.2">
      <c r="A891">
        <v>-124</v>
      </c>
      <c r="B891" s="10" t="s">
        <v>75</v>
      </c>
      <c r="C891" s="11" t="s">
        <v>343</v>
      </c>
      <c r="D891" s="7" t="s">
        <v>1867</v>
      </c>
      <c r="E891" s="13">
        <v>11</v>
      </c>
      <c r="F891" s="13">
        <v>1</v>
      </c>
      <c r="G891" s="13">
        <f t="shared" si="38"/>
        <v>0</v>
      </c>
      <c r="H891" s="13">
        <v>124</v>
      </c>
      <c r="I891" s="14">
        <f t="shared" si="39"/>
        <v>-123.96986301369863</v>
      </c>
      <c r="J891" s="7" t="s">
        <v>1866</v>
      </c>
      <c r="K891" s="10">
        <v>20</v>
      </c>
      <c r="L891" s="16">
        <v>20</v>
      </c>
      <c r="M891" s="16">
        <f>1000/L891</f>
        <v>50</v>
      </c>
      <c r="N891" s="16">
        <f>8.33*M891</f>
        <v>416.5</v>
      </c>
      <c r="O891" s="16">
        <f>1.613*N891</f>
        <v>671.81449999999995</v>
      </c>
      <c r="T891" s="8"/>
    </row>
    <row r="892" spans="1:36" x14ac:dyDescent="0.2">
      <c r="A892">
        <v>-124</v>
      </c>
      <c r="B892" s="10" t="s">
        <v>75</v>
      </c>
      <c r="C892" s="11" t="s">
        <v>1868</v>
      </c>
      <c r="D892" s="7" t="s">
        <v>1869</v>
      </c>
      <c r="E892" s="13">
        <v>13</v>
      </c>
      <c r="F892" s="13">
        <v>1</v>
      </c>
      <c r="G892" s="13">
        <f t="shared" si="38"/>
        <v>0</v>
      </c>
      <c r="H892" s="13">
        <v>124</v>
      </c>
      <c r="I892" s="14">
        <f t="shared" si="39"/>
        <v>-123.96438356164384</v>
      </c>
      <c r="J892" s="7" t="s">
        <v>1862</v>
      </c>
      <c r="P892">
        <v>75</v>
      </c>
      <c r="Q892" s="17">
        <v>75</v>
      </c>
      <c r="R892" s="16">
        <f>1000/Q892</f>
        <v>13.333333333333334</v>
      </c>
      <c r="S892" s="16">
        <f>8.33*R892</f>
        <v>111.06666666666668</v>
      </c>
      <c r="T892" s="16">
        <f>S892*1.33</f>
        <v>147.71866666666668</v>
      </c>
    </row>
    <row r="893" spans="1:36" x14ac:dyDescent="0.2">
      <c r="A893">
        <v>-124</v>
      </c>
      <c r="B893" s="10" t="s">
        <v>75</v>
      </c>
      <c r="C893" s="11" t="s">
        <v>1870</v>
      </c>
      <c r="D893" s="7" t="s">
        <v>1869</v>
      </c>
      <c r="E893" s="13">
        <v>13</v>
      </c>
      <c r="F893" s="13">
        <v>1</v>
      </c>
      <c r="G893" s="13">
        <f t="shared" si="38"/>
        <v>0</v>
      </c>
      <c r="H893" s="13">
        <v>124</v>
      </c>
      <c r="I893" s="14">
        <f t="shared" si="39"/>
        <v>-123.96438356164384</v>
      </c>
      <c r="J893" s="7" t="s">
        <v>1871</v>
      </c>
      <c r="K893" s="10">
        <v>18</v>
      </c>
      <c r="L893" s="16">
        <v>18</v>
      </c>
      <c r="M893" s="16">
        <f>1000/L893</f>
        <v>55.555555555555557</v>
      </c>
      <c r="N893" s="16">
        <f>8.33*M893</f>
        <v>462.77777777777777</v>
      </c>
      <c r="O893" s="16">
        <f>1.613*N893</f>
        <v>746.46055555555552</v>
      </c>
      <c r="T893" s="8"/>
    </row>
    <row r="894" spans="1:36" x14ac:dyDescent="0.2">
      <c r="A894">
        <v>-124</v>
      </c>
      <c r="B894" s="10" t="s">
        <v>75</v>
      </c>
      <c r="C894" s="11" t="s">
        <v>42</v>
      </c>
      <c r="D894" s="15" t="s">
        <v>1872</v>
      </c>
      <c r="E894" s="13">
        <v>16</v>
      </c>
      <c r="F894" s="13">
        <v>1</v>
      </c>
      <c r="G894" s="13">
        <f t="shared" si="38"/>
        <v>0</v>
      </c>
      <c r="H894" s="13">
        <v>124</v>
      </c>
      <c r="I894" s="14">
        <f t="shared" si="39"/>
        <v>-123.95616438356164</v>
      </c>
      <c r="J894" s="15" t="s">
        <v>1873</v>
      </c>
      <c r="T894" s="8"/>
      <c r="AC894">
        <v>9</v>
      </c>
      <c r="AD894" s="17">
        <v>9</v>
      </c>
      <c r="AE894" s="16">
        <f>1000/AD894</f>
        <v>111.11111111111111</v>
      </c>
      <c r="AF894" s="16">
        <f>8.33*AE894</f>
        <v>925.55555555555554</v>
      </c>
    </row>
    <row r="895" spans="1:36" x14ac:dyDescent="0.2">
      <c r="A895">
        <v>-124</v>
      </c>
      <c r="B895" s="10" t="s">
        <v>75</v>
      </c>
      <c r="C895" s="11" t="s">
        <v>1408</v>
      </c>
      <c r="D895" s="7" t="s">
        <v>1872</v>
      </c>
      <c r="E895" s="13">
        <v>16</v>
      </c>
      <c r="F895" s="13">
        <v>1</v>
      </c>
      <c r="G895" s="13">
        <f t="shared" si="38"/>
        <v>0</v>
      </c>
      <c r="H895" s="13">
        <v>124</v>
      </c>
      <c r="I895" s="14">
        <f t="shared" si="39"/>
        <v>-123.95616438356164</v>
      </c>
      <c r="J895" s="7" t="s">
        <v>1874</v>
      </c>
      <c r="P895">
        <v>60</v>
      </c>
      <c r="Q895" s="17">
        <v>60</v>
      </c>
      <c r="R895" s="16">
        <f>1000/Q895</f>
        <v>16.666666666666668</v>
      </c>
      <c r="S895" s="16">
        <f>8.33*R895</f>
        <v>138.83333333333334</v>
      </c>
      <c r="T895" s="16">
        <f>S895*1.33</f>
        <v>184.64833333333337</v>
      </c>
    </row>
    <row r="896" spans="1:36" x14ac:dyDescent="0.2">
      <c r="A896">
        <v>-124</v>
      </c>
      <c r="B896" s="10" t="s">
        <v>75</v>
      </c>
      <c r="C896" s="11" t="s">
        <v>1875</v>
      </c>
      <c r="D896" s="7" t="s">
        <v>1871</v>
      </c>
      <c r="E896" s="13">
        <v>23</v>
      </c>
      <c r="F896" s="13">
        <v>1</v>
      </c>
      <c r="G896" s="13">
        <f t="shared" si="38"/>
        <v>0</v>
      </c>
      <c r="H896" s="13">
        <v>124</v>
      </c>
      <c r="I896" s="14">
        <f t="shared" si="39"/>
        <v>-123.93698630136986</v>
      </c>
      <c r="J896" s="7" t="s">
        <v>1873</v>
      </c>
      <c r="P896">
        <v>84</v>
      </c>
      <c r="Q896" s="17">
        <v>84</v>
      </c>
      <c r="R896" s="16">
        <f>1000/Q896</f>
        <v>11.904761904761905</v>
      </c>
      <c r="S896" s="16">
        <f>8.33*R896</f>
        <v>99.166666666666671</v>
      </c>
      <c r="T896" s="16">
        <f>S896*1.33</f>
        <v>131.89166666666668</v>
      </c>
    </row>
    <row r="897" spans="1:37" x14ac:dyDescent="0.2">
      <c r="A897">
        <v>-124</v>
      </c>
      <c r="B897" s="10" t="s">
        <v>75</v>
      </c>
      <c r="C897" s="11" t="s">
        <v>1876</v>
      </c>
      <c r="D897" s="15" t="s">
        <v>1877</v>
      </c>
      <c r="E897" s="13">
        <v>24</v>
      </c>
      <c r="F897" s="13">
        <v>1</v>
      </c>
      <c r="G897" s="13">
        <f t="shared" si="38"/>
        <v>0</v>
      </c>
      <c r="H897" s="13">
        <v>124</v>
      </c>
      <c r="I897" s="14">
        <f t="shared" si="39"/>
        <v>-123.93424657534247</v>
      </c>
      <c r="J897" s="15" t="s">
        <v>1878</v>
      </c>
      <c r="K897" s="10" t="s">
        <v>1879</v>
      </c>
      <c r="AC897" t="s">
        <v>1880</v>
      </c>
    </row>
    <row r="898" spans="1:37" x14ac:dyDescent="0.2">
      <c r="A898">
        <v>-124</v>
      </c>
      <c r="B898" s="10" t="s">
        <v>75</v>
      </c>
      <c r="C898" s="11" t="s">
        <v>45</v>
      </c>
      <c r="D898" s="15" t="s">
        <v>1881</v>
      </c>
      <c r="E898" s="13">
        <v>26</v>
      </c>
      <c r="F898" s="13">
        <v>1</v>
      </c>
      <c r="G898" s="13">
        <f t="shared" ref="G898:G961" si="40">INDEX(A$1502:A$1513,F898)</f>
        <v>0</v>
      </c>
      <c r="H898" s="13">
        <v>124</v>
      </c>
      <c r="I898" s="14">
        <f t="shared" si="39"/>
        <v>-123.92876712328767</v>
      </c>
      <c r="J898" s="15" t="s">
        <v>1861</v>
      </c>
      <c r="P898">
        <v>90</v>
      </c>
      <c r="Q898" s="17">
        <v>90</v>
      </c>
      <c r="R898" s="16">
        <f>1000/Q898</f>
        <v>11.111111111111111</v>
      </c>
      <c r="S898" s="16">
        <f>8.33*R898</f>
        <v>92.555555555555557</v>
      </c>
      <c r="T898" s="16">
        <f>S898*1.33</f>
        <v>123.09888888888889</v>
      </c>
      <c r="AC898">
        <v>8</v>
      </c>
      <c r="AD898" s="17">
        <v>8</v>
      </c>
      <c r="AE898" s="16">
        <f>1000/AD898</f>
        <v>125</v>
      </c>
      <c r="AF898" s="16">
        <f>8.33*AE898</f>
        <v>1041.25</v>
      </c>
    </row>
    <row r="899" spans="1:37" x14ac:dyDescent="0.2">
      <c r="A899">
        <v>-124</v>
      </c>
      <c r="B899" s="10" t="s">
        <v>75</v>
      </c>
      <c r="C899" s="11" t="s">
        <v>1882</v>
      </c>
      <c r="D899" s="7" t="s">
        <v>1883</v>
      </c>
      <c r="E899" s="13">
        <v>29</v>
      </c>
      <c r="F899" s="13">
        <v>1</v>
      </c>
      <c r="G899" s="13">
        <f t="shared" si="40"/>
        <v>0</v>
      </c>
      <c r="H899" s="13">
        <v>124</v>
      </c>
      <c r="I899" s="14">
        <f t="shared" ref="I899:I962" si="41">($E899+$G899)/365-$H899</f>
        <v>-123.92054794520548</v>
      </c>
      <c r="J899" s="7" t="s">
        <v>1884</v>
      </c>
      <c r="K899" s="10">
        <v>15</v>
      </c>
      <c r="L899" s="16">
        <v>15</v>
      </c>
      <c r="M899" s="16">
        <f>1000/L899</f>
        <v>66.666666666666671</v>
      </c>
      <c r="N899" s="16">
        <f>8.33*M899</f>
        <v>555.33333333333337</v>
      </c>
      <c r="O899" s="16">
        <f>1.613*N899</f>
        <v>895.75266666666676</v>
      </c>
      <c r="T899" s="8"/>
    </row>
    <row r="900" spans="1:37" x14ac:dyDescent="0.2">
      <c r="A900">
        <v>-124</v>
      </c>
      <c r="B900" s="10" t="s">
        <v>75</v>
      </c>
      <c r="C900" s="11" t="s">
        <v>1790</v>
      </c>
      <c r="D900" s="7" t="s">
        <v>1885</v>
      </c>
      <c r="E900" s="13">
        <v>31</v>
      </c>
      <c r="F900" s="13">
        <v>1</v>
      </c>
      <c r="G900" s="13">
        <f t="shared" si="40"/>
        <v>0</v>
      </c>
      <c r="H900" s="13">
        <v>124</v>
      </c>
      <c r="I900" s="14">
        <f t="shared" si="41"/>
        <v>-123.91506849315068</v>
      </c>
      <c r="J900" s="7" t="s">
        <v>1861</v>
      </c>
      <c r="K900" s="10">
        <v>16</v>
      </c>
      <c r="L900" s="16">
        <v>16</v>
      </c>
      <c r="M900" s="16">
        <f>1000/L900</f>
        <v>62.5</v>
      </c>
      <c r="N900" s="16">
        <f>8.33*M900</f>
        <v>520.625</v>
      </c>
      <c r="O900" s="16">
        <f>1.613*N900</f>
        <v>839.76812499999994</v>
      </c>
      <c r="T900" s="8"/>
    </row>
    <row r="901" spans="1:37" x14ac:dyDescent="0.2">
      <c r="A901">
        <v>-123</v>
      </c>
      <c r="B901" s="10" t="s">
        <v>506</v>
      </c>
      <c r="C901" s="11" t="s">
        <v>39</v>
      </c>
      <c r="D901" s="15" t="s">
        <v>1886</v>
      </c>
      <c r="E901" s="13">
        <v>5</v>
      </c>
      <c r="F901" s="13">
        <v>5</v>
      </c>
      <c r="G901" s="13">
        <f t="shared" si="40"/>
        <v>120</v>
      </c>
      <c r="H901" s="13">
        <v>124</v>
      </c>
      <c r="I901" s="14">
        <f t="shared" si="41"/>
        <v>-123.65753424657534</v>
      </c>
      <c r="J901" s="15" t="s">
        <v>1887</v>
      </c>
      <c r="K901" s="10">
        <v>9</v>
      </c>
      <c r="L901" s="16">
        <v>9</v>
      </c>
      <c r="M901" s="16">
        <f>1000/L901</f>
        <v>111.11111111111111</v>
      </c>
      <c r="N901" s="16">
        <f>8.33*M901</f>
        <v>925.55555555555554</v>
      </c>
      <c r="O901" s="16">
        <f>1.613*N901</f>
        <v>1492.921111111111</v>
      </c>
      <c r="T901" s="8"/>
      <c r="AK901" t="s">
        <v>1888</v>
      </c>
    </row>
    <row r="902" spans="1:37" x14ac:dyDescent="0.2">
      <c r="A902">
        <v>-123</v>
      </c>
      <c r="B902" s="10" t="s">
        <v>47</v>
      </c>
      <c r="C902" s="11" t="s">
        <v>1889</v>
      </c>
      <c r="D902" s="7" t="s">
        <v>1890</v>
      </c>
      <c r="E902" s="13">
        <v>9</v>
      </c>
      <c r="F902" s="13">
        <v>5</v>
      </c>
      <c r="G902" s="13">
        <f t="shared" si="40"/>
        <v>120</v>
      </c>
      <c r="H902" s="13">
        <v>124</v>
      </c>
      <c r="I902" s="14">
        <f t="shared" si="41"/>
        <v>-123.64657534246575</v>
      </c>
      <c r="J902" s="7" t="s">
        <v>1887</v>
      </c>
      <c r="K902" s="10">
        <v>9.5</v>
      </c>
      <c r="L902" s="16">
        <v>9</v>
      </c>
      <c r="M902" s="16">
        <f>1000/L902</f>
        <v>111.11111111111111</v>
      </c>
      <c r="N902" s="16">
        <f>8.33*M902</f>
        <v>925.55555555555554</v>
      </c>
      <c r="O902" s="16">
        <f>1.613*N902</f>
        <v>1492.921111111111</v>
      </c>
      <c r="T902" s="8"/>
    </row>
    <row r="903" spans="1:37" x14ac:dyDescent="0.2">
      <c r="A903">
        <v>-123</v>
      </c>
      <c r="B903" s="10" t="s">
        <v>47</v>
      </c>
      <c r="C903" s="11" t="s">
        <v>42</v>
      </c>
      <c r="D903" s="15" t="s">
        <v>1891</v>
      </c>
      <c r="E903" s="13">
        <v>15</v>
      </c>
      <c r="F903" s="13">
        <v>5</v>
      </c>
      <c r="G903" s="13">
        <f t="shared" si="40"/>
        <v>120</v>
      </c>
      <c r="H903" s="13">
        <v>124</v>
      </c>
      <c r="I903" s="14">
        <f t="shared" si="41"/>
        <v>-123.63013698630137</v>
      </c>
      <c r="J903" s="15" t="s">
        <v>1892</v>
      </c>
      <c r="T903" s="8"/>
    </row>
    <row r="904" spans="1:37" x14ac:dyDescent="0.2">
      <c r="A904">
        <v>-123</v>
      </c>
      <c r="B904" s="10" t="s">
        <v>47</v>
      </c>
      <c r="C904" s="11" t="s">
        <v>45</v>
      </c>
      <c r="D904" s="15" t="s">
        <v>1893</v>
      </c>
      <c r="E904" s="13">
        <v>25</v>
      </c>
      <c r="F904" s="13">
        <v>5</v>
      </c>
      <c r="G904" s="13">
        <f t="shared" si="40"/>
        <v>120</v>
      </c>
      <c r="H904" s="13">
        <v>124</v>
      </c>
      <c r="I904" s="14">
        <f t="shared" si="41"/>
        <v>-123.60273972602739</v>
      </c>
      <c r="J904" s="15" t="s">
        <v>1894</v>
      </c>
      <c r="T904" s="8"/>
    </row>
    <row r="905" spans="1:37" x14ac:dyDescent="0.2">
      <c r="A905">
        <v>-123</v>
      </c>
      <c r="B905" s="10" t="s">
        <v>65</v>
      </c>
      <c r="D905" s="15" t="s">
        <v>1895</v>
      </c>
      <c r="E905" s="13">
        <v>3</v>
      </c>
      <c r="F905" s="13">
        <v>6</v>
      </c>
      <c r="G905" s="13">
        <f t="shared" si="40"/>
        <v>151</v>
      </c>
      <c r="H905" s="13">
        <v>124</v>
      </c>
      <c r="I905" s="14">
        <f t="shared" si="41"/>
        <v>-123.57808219178082</v>
      </c>
      <c r="J905" s="15" t="s">
        <v>1896</v>
      </c>
      <c r="P905" s="1" t="s">
        <v>1897</v>
      </c>
      <c r="Q905" s="21">
        <v>52</v>
      </c>
      <c r="R905" s="22">
        <f>1000/Q905</f>
        <v>19.23076923076923</v>
      </c>
      <c r="S905" s="22">
        <f>8.33*R905</f>
        <v>160.19230769230768</v>
      </c>
      <c r="T905" s="22">
        <f>S905*1.33</f>
        <v>213.05576923076922</v>
      </c>
      <c r="U905" s="1">
        <v>630</v>
      </c>
      <c r="V905" s="9">
        <v>630</v>
      </c>
      <c r="W905" s="8">
        <f>1000/V905</f>
        <v>1.5873015873015872</v>
      </c>
      <c r="X905" s="8">
        <f>8.33*W905</f>
        <v>13.222222222222221</v>
      </c>
      <c r="Y905" s="1">
        <v>21</v>
      </c>
      <c r="Z905" s="9">
        <v>21</v>
      </c>
      <c r="AA905" s="8">
        <f>1000/Z905</f>
        <v>47.61904761904762</v>
      </c>
      <c r="AB905" s="8">
        <f>8.33*AA905</f>
        <v>396.66666666666669</v>
      </c>
    </row>
    <row r="906" spans="1:37" x14ac:dyDescent="0.2">
      <c r="A906">
        <v>-123</v>
      </c>
      <c r="B906" s="10" t="s">
        <v>65</v>
      </c>
      <c r="C906" s="11" t="s">
        <v>39</v>
      </c>
      <c r="D906" s="15" t="s">
        <v>1895</v>
      </c>
      <c r="E906" s="13">
        <v>3</v>
      </c>
      <c r="F906" s="13">
        <v>6</v>
      </c>
      <c r="G906" s="13">
        <f t="shared" si="40"/>
        <v>151</v>
      </c>
      <c r="H906" s="13">
        <v>124</v>
      </c>
      <c r="I906" s="14">
        <f t="shared" si="41"/>
        <v>-123.57808219178082</v>
      </c>
      <c r="J906" s="15" t="s">
        <v>1898</v>
      </c>
      <c r="K906" s="10">
        <v>30</v>
      </c>
      <c r="L906" s="16">
        <v>30</v>
      </c>
      <c r="M906" s="16">
        <f>1000/L906</f>
        <v>33.333333333333336</v>
      </c>
      <c r="N906" s="16">
        <f>8.33*M906</f>
        <v>277.66666666666669</v>
      </c>
      <c r="O906" s="16">
        <f>1.613*N906</f>
        <v>447.87633333333338</v>
      </c>
      <c r="T906" s="8"/>
      <c r="AC906">
        <v>10</v>
      </c>
      <c r="AD906" s="17">
        <v>10</v>
      </c>
      <c r="AE906" s="16">
        <f>1000/AD906</f>
        <v>100</v>
      </c>
      <c r="AF906" s="16">
        <f>8.33*AE906</f>
        <v>833</v>
      </c>
      <c r="AG906" t="s">
        <v>41</v>
      </c>
      <c r="AH906" s="17" t="s">
        <v>41</v>
      </c>
    </row>
    <row r="907" spans="1:37" x14ac:dyDescent="0.2">
      <c r="A907">
        <v>-123</v>
      </c>
      <c r="B907" s="10" t="s">
        <v>65</v>
      </c>
      <c r="C907" s="11" t="s">
        <v>42</v>
      </c>
      <c r="D907" s="15" t="s">
        <v>1899</v>
      </c>
      <c r="E907" s="13">
        <v>13</v>
      </c>
      <c r="F907" s="13">
        <v>6</v>
      </c>
      <c r="G907" s="13">
        <f t="shared" si="40"/>
        <v>151</v>
      </c>
      <c r="H907" s="13">
        <v>124</v>
      </c>
      <c r="I907" s="14">
        <f t="shared" si="41"/>
        <v>-123.55068493150685</v>
      </c>
      <c r="J907" s="15" t="s">
        <v>1900</v>
      </c>
      <c r="T907" s="8"/>
    </row>
    <row r="908" spans="1:37" x14ac:dyDescent="0.2">
      <c r="A908">
        <v>-123</v>
      </c>
      <c r="B908" s="10" t="s">
        <v>65</v>
      </c>
      <c r="C908" s="11" t="s">
        <v>45</v>
      </c>
      <c r="D908" s="15" t="s">
        <v>1901</v>
      </c>
      <c r="E908" s="13">
        <v>23</v>
      </c>
      <c r="F908" s="13">
        <v>6</v>
      </c>
      <c r="G908" s="13">
        <f t="shared" si="40"/>
        <v>151</v>
      </c>
      <c r="H908" s="13">
        <v>124</v>
      </c>
      <c r="I908" s="14">
        <f t="shared" si="41"/>
        <v>-123.52328767123288</v>
      </c>
      <c r="J908" s="15" t="s">
        <v>1896</v>
      </c>
      <c r="K908" s="10">
        <v>27.5</v>
      </c>
      <c r="L908" s="16">
        <v>27.5</v>
      </c>
      <c r="M908" s="16">
        <f>1000/L908</f>
        <v>36.363636363636367</v>
      </c>
      <c r="N908" s="16">
        <f>8.33*M908</f>
        <v>302.90909090909093</v>
      </c>
      <c r="O908" s="16">
        <f>1.613*N908</f>
        <v>488.5923636363637</v>
      </c>
      <c r="T908" s="8"/>
      <c r="AC908">
        <v>10.5</v>
      </c>
      <c r="AD908" s="17">
        <v>10.5</v>
      </c>
      <c r="AE908" s="16">
        <f>1000/AD908</f>
        <v>95.238095238095241</v>
      </c>
      <c r="AF908" s="16">
        <f>8.33*AE908</f>
        <v>793.33333333333337</v>
      </c>
    </row>
    <row r="909" spans="1:37" x14ac:dyDescent="0.2">
      <c r="A909">
        <v>-123</v>
      </c>
      <c r="B909" s="10" t="s">
        <v>65</v>
      </c>
      <c r="C909" s="11" t="s">
        <v>1622</v>
      </c>
      <c r="D909" s="7" t="s">
        <v>1902</v>
      </c>
      <c r="E909" s="13">
        <v>29</v>
      </c>
      <c r="F909" s="13">
        <v>6</v>
      </c>
      <c r="G909" s="13">
        <f t="shared" si="40"/>
        <v>151</v>
      </c>
      <c r="H909" s="13">
        <v>124</v>
      </c>
      <c r="I909" s="14">
        <f t="shared" si="41"/>
        <v>-123.50684931506849</v>
      </c>
      <c r="J909" s="7" t="s">
        <v>1896</v>
      </c>
      <c r="K909" s="10" t="s">
        <v>41</v>
      </c>
      <c r="T909" s="8"/>
    </row>
    <row r="910" spans="1:37" x14ac:dyDescent="0.2">
      <c r="A910">
        <v>-123</v>
      </c>
      <c r="B910" s="10" t="s">
        <v>1827</v>
      </c>
      <c r="C910" s="11" t="s">
        <v>39</v>
      </c>
      <c r="D910" s="15" t="s">
        <v>1903</v>
      </c>
      <c r="E910" s="13">
        <v>2</v>
      </c>
      <c r="F910" s="13">
        <v>7</v>
      </c>
      <c r="G910" s="13">
        <f t="shared" si="40"/>
        <v>181</v>
      </c>
      <c r="H910" s="13">
        <v>124</v>
      </c>
      <c r="I910" s="14">
        <f t="shared" si="41"/>
        <v>-123.49863013698631</v>
      </c>
      <c r="J910" s="15" t="s">
        <v>1904</v>
      </c>
      <c r="K910" s="10" t="s">
        <v>41</v>
      </c>
      <c r="T910" s="8"/>
      <c r="AG910" t="s">
        <v>41</v>
      </c>
      <c r="AH910" s="17" t="s">
        <v>41</v>
      </c>
    </row>
    <row r="911" spans="1:37" x14ac:dyDescent="0.2">
      <c r="A911">
        <v>-123</v>
      </c>
      <c r="B911" s="10" t="s">
        <v>1827</v>
      </c>
      <c r="C911" s="11" t="s">
        <v>42</v>
      </c>
      <c r="D911" s="15" t="s">
        <v>1905</v>
      </c>
      <c r="E911" s="13">
        <v>12</v>
      </c>
      <c r="F911" s="13">
        <v>7</v>
      </c>
      <c r="G911" s="13">
        <f t="shared" si="40"/>
        <v>181</v>
      </c>
      <c r="H911" s="13">
        <v>124</v>
      </c>
      <c r="I911" s="14">
        <f t="shared" si="41"/>
        <v>-123.47123287671234</v>
      </c>
      <c r="J911" s="15" t="s">
        <v>1906</v>
      </c>
      <c r="T911" s="8"/>
      <c r="U911">
        <v>630</v>
      </c>
      <c r="V911" s="17">
        <v>630</v>
      </c>
      <c r="W911" s="16">
        <v>1.59</v>
      </c>
      <c r="X911" s="16">
        <v>13.25</v>
      </c>
      <c r="AC911">
        <v>10.5</v>
      </c>
      <c r="AD911" s="17">
        <v>10.5</v>
      </c>
      <c r="AE911" s="16">
        <f>1000/AD911</f>
        <v>95.238095238095241</v>
      </c>
      <c r="AF911" s="16">
        <f>8.33*AE911</f>
        <v>793.33333333333337</v>
      </c>
    </row>
    <row r="912" spans="1:37" x14ac:dyDescent="0.2">
      <c r="A912">
        <v>-123</v>
      </c>
      <c r="B912" s="10" t="s">
        <v>1827</v>
      </c>
      <c r="C912" s="11" t="s">
        <v>45</v>
      </c>
      <c r="D912" s="15" t="s">
        <v>1907</v>
      </c>
      <c r="E912" s="13">
        <v>22</v>
      </c>
      <c r="F912" s="13">
        <v>7</v>
      </c>
      <c r="G912" s="13">
        <f t="shared" si="40"/>
        <v>181</v>
      </c>
      <c r="H912" s="13">
        <v>124</v>
      </c>
      <c r="I912" s="14">
        <f t="shared" si="41"/>
        <v>-123.44383561643835</v>
      </c>
      <c r="J912" s="15" t="s">
        <v>1908</v>
      </c>
      <c r="T912" s="8"/>
      <c r="U912">
        <v>720</v>
      </c>
      <c r="V912" s="17">
        <v>720</v>
      </c>
      <c r="W912" s="16">
        <f>1000/V912</f>
        <v>1.3888888888888888</v>
      </c>
      <c r="X912" s="16">
        <f>8.33*W912</f>
        <v>11.569444444444445</v>
      </c>
      <c r="AC912">
        <v>11.25</v>
      </c>
      <c r="AD912" s="17">
        <v>11.25</v>
      </c>
      <c r="AE912" s="16">
        <f>1000/AD912</f>
        <v>88.888888888888886</v>
      </c>
      <c r="AF912" s="16">
        <f>8.33*AE912</f>
        <v>740.44444444444446</v>
      </c>
    </row>
    <row r="913" spans="1:37" x14ac:dyDescent="0.2">
      <c r="A913">
        <v>-123</v>
      </c>
      <c r="B913" s="10" t="s">
        <v>285</v>
      </c>
      <c r="C913" s="11" t="s">
        <v>39</v>
      </c>
      <c r="D913" s="15" t="s">
        <v>1909</v>
      </c>
      <c r="E913" s="13">
        <v>1</v>
      </c>
      <c r="F913" s="13">
        <v>8</v>
      </c>
      <c r="G913" s="13">
        <f t="shared" si="40"/>
        <v>212</v>
      </c>
      <c r="H913" s="13">
        <v>124</v>
      </c>
      <c r="I913" s="14">
        <f t="shared" si="41"/>
        <v>-123.41643835616438</v>
      </c>
      <c r="J913" s="15" t="s">
        <v>1910</v>
      </c>
      <c r="T913" s="8"/>
    </row>
    <row r="914" spans="1:37" x14ac:dyDescent="0.2">
      <c r="A914">
        <v>-123</v>
      </c>
      <c r="B914" s="10" t="s">
        <v>362</v>
      </c>
      <c r="C914" s="11" t="s">
        <v>1606</v>
      </c>
      <c r="D914" s="7" t="s">
        <v>1909</v>
      </c>
      <c r="E914" s="13">
        <v>1</v>
      </c>
      <c r="F914" s="13">
        <v>8</v>
      </c>
      <c r="G914" s="13">
        <f t="shared" si="40"/>
        <v>212</v>
      </c>
      <c r="H914" s="13">
        <v>124</v>
      </c>
      <c r="I914" s="14">
        <f t="shared" si="41"/>
        <v>-123.41643835616438</v>
      </c>
      <c r="J914" s="7" t="s">
        <v>1911</v>
      </c>
      <c r="K914" s="10">
        <v>31.5</v>
      </c>
      <c r="L914" s="16">
        <v>31.5</v>
      </c>
      <c r="M914" s="16">
        <f>1000/L914</f>
        <v>31.746031746031747</v>
      </c>
      <c r="N914" s="16">
        <f>8.33*M914</f>
        <v>264.44444444444446</v>
      </c>
      <c r="O914" s="16">
        <f>1.613*N914</f>
        <v>426.54888888888888</v>
      </c>
      <c r="T914" s="8"/>
    </row>
    <row r="915" spans="1:37" x14ac:dyDescent="0.2">
      <c r="A915">
        <v>-123</v>
      </c>
      <c r="B915" s="10" t="s">
        <v>362</v>
      </c>
      <c r="C915" s="11" t="s">
        <v>42</v>
      </c>
      <c r="D915" s="15" t="s">
        <v>1912</v>
      </c>
      <c r="E915" s="13">
        <v>11</v>
      </c>
      <c r="F915" s="13">
        <v>8</v>
      </c>
      <c r="G915" s="13">
        <f t="shared" si="40"/>
        <v>212</v>
      </c>
      <c r="H915" s="13">
        <v>124</v>
      </c>
      <c r="I915" s="14">
        <f t="shared" si="41"/>
        <v>-123.38904109589041</v>
      </c>
      <c r="J915" s="15" t="s">
        <v>1913</v>
      </c>
      <c r="T915" s="8"/>
      <c r="AC915">
        <v>11.25</v>
      </c>
      <c r="AD915" s="17">
        <v>11.25</v>
      </c>
      <c r="AE915" s="16">
        <f>1000/AD915</f>
        <v>88.888888888888886</v>
      </c>
      <c r="AF915" s="16">
        <f>8.33*AE915</f>
        <v>740.44444444444446</v>
      </c>
    </row>
    <row r="916" spans="1:37" x14ac:dyDescent="0.2">
      <c r="A916">
        <v>-123</v>
      </c>
      <c r="B916" s="10" t="s">
        <v>1914</v>
      </c>
      <c r="C916" s="11" t="s">
        <v>45</v>
      </c>
      <c r="D916" s="15" t="s">
        <v>1915</v>
      </c>
      <c r="E916" s="13">
        <v>21</v>
      </c>
      <c r="F916" s="13">
        <v>8</v>
      </c>
      <c r="G916" s="13">
        <f t="shared" si="40"/>
        <v>212</v>
      </c>
      <c r="H916" s="13">
        <v>124</v>
      </c>
      <c r="I916" s="14">
        <f t="shared" si="41"/>
        <v>-123.36164383561643</v>
      </c>
      <c r="J916" s="15" t="s">
        <v>1916</v>
      </c>
      <c r="T916" s="8"/>
      <c r="Y916">
        <v>15</v>
      </c>
      <c r="Z916" s="17">
        <v>15</v>
      </c>
      <c r="AA916" s="16">
        <f>1000/Z916</f>
        <v>66.666666666666671</v>
      </c>
      <c r="AB916" s="16">
        <f>8.33*AA916</f>
        <v>555.33333333333337</v>
      </c>
      <c r="AC916" t="s">
        <v>41</v>
      </c>
    </row>
    <row r="917" spans="1:37" x14ac:dyDescent="0.2">
      <c r="A917">
        <v>-123</v>
      </c>
      <c r="B917" s="10" t="s">
        <v>72</v>
      </c>
      <c r="D917" s="15" t="s">
        <v>1917</v>
      </c>
      <c r="E917" s="13">
        <v>30</v>
      </c>
      <c r="F917" s="13">
        <v>8</v>
      </c>
      <c r="G917" s="13">
        <f t="shared" si="40"/>
        <v>212</v>
      </c>
      <c r="H917" s="13">
        <v>124</v>
      </c>
      <c r="I917" s="14">
        <f t="shared" si="41"/>
        <v>-123.33698630136986</v>
      </c>
      <c r="J917" s="15" t="s">
        <v>1918</v>
      </c>
      <c r="T917" s="8"/>
      <c r="U917" s="1">
        <v>540</v>
      </c>
      <c r="V917" s="9">
        <v>540</v>
      </c>
      <c r="W917" s="8">
        <f>1000/V917</f>
        <v>1.8518518518518519</v>
      </c>
      <c r="X917" s="8">
        <f>8.33*W917</f>
        <v>15.425925925925926</v>
      </c>
    </row>
    <row r="918" spans="1:37" x14ac:dyDescent="0.2">
      <c r="A918">
        <v>-123</v>
      </c>
      <c r="B918" s="10" t="s">
        <v>1919</v>
      </c>
      <c r="C918" s="11" t="s">
        <v>39</v>
      </c>
      <c r="D918" s="15" t="s">
        <v>1917</v>
      </c>
      <c r="E918" s="13">
        <v>30</v>
      </c>
      <c r="F918" s="13">
        <v>8</v>
      </c>
      <c r="G918" s="13">
        <f t="shared" si="40"/>
        <v>212</v>
      </c>
      <c r="H918" s="13">
        <v>124</v>
      </c>
      <c r="I918" s="14">
        <f t="shared" si="41"/>
        <v>-123.33698630136986</v>
      </c>
      <c r="J918" s="15" t="s">
        <v>1920</v>
      </c>
      <c r="K918" s="10" t="s">
        <v>133</v>
      </c>
      <c r="P918">
        <v>41.5</v>
      </c>
      <c r="Q918" s="17">
        <v>41.5</v>
      </c>
      <c r="R918" s="16">
        <f>1000/Q918</f>
        <v>24.096385542168676</v>
      </c>
      <c r="S918" s="16">
        <f>8.33*R918</f>
        <v>200.72289156626508</v>
      </c>
      <c r="T918" s="16">
        <f>S918*1.33</f>
        <v>266.96144578313255</v>
      </c>
      <c r="Y918" t="s">
        <v>41</v>
      </c>
    </row>
    <row r="919" spans="1:37" x14ac:dyDescent="0.2">
      <c r="A919">
        <v>-123</v>
      </c>
      <c r="B919" s="10" t="s">
        <v>1919</v>
      </c>
      <c r="C919" s="11" t="s">
        <v>42</v>
      </c>
      <c r="D919" s="15" t="s">
        <v>1921</v>
      </c>
      <c r="E919" s="13">
        <v>9</v>
      </c>
      <c r="F919" s="13">
        <v>9</v>
      </c>
      <c r="G919" s="13">
        <f t="shared" si="40"/>
        <v>243</v>
      </c>
      <c r="H919" s="13">
        <v>124</v>
      </c>
      <c r="I919" s="14">
        <f t="shared" si="41"/>
        <v>-123.30958904109589</v>
      </c>
      <c r="J919" s="15" t="s">
        <v>1922</v>
      </c>
      <c r="Q919" s="20">
        <v>41.5</v>
      </c>
      <c r="R919" s="19">
        <v>24.1</v>
      </c>
      <c r="S919" s="19">
        <v>200.72</v>
      </c>
      <c r="T919" s="19">
        <f>S919*1.33</f>
        <v>266.95760000000001</v>
      </c>
    </row>
    <row r="920" spans="1:37" x14ac:dyDescent="0.2">
      <c r="A920">
        <v>-123</v>
      </c>
      <c r="B920" s="10" t="s">
        <v>1919</v>
      </c>
      <c r="C920" s="11" t="s">
        <v>45</v>
      </c>
      <c r="D920" s="15" t="s">
        <v>1923</v>
      </c>
      <c r="E920" s="13">
        <v>19</v>
      </c>
      <c r="F920" s="13">
        <v>9</v>
      </c>
      <c r="G920" s="13">
        <f t="shared" si="40"/>
        <v>243</v>
      </c>
      <c r="H920" s="13">
        <v>124</v>
      </c>
      <c r="I920" s="14">
        <f t="shared" si="41"/>
        <v>-123.28219178082192</v>
      </c>
      <c r="J920" s="15" t="s">
        <v>1918</v>
      </c>
      <c r="K920" s="10" t="s">
        <v>133</v>
      </c>
      <c r="P920">
        <v>60</v>
      </c>
      <c r="Q920" s="17">
        <v>60</v>
      </c>
      <c r="R920" s="16">
        <f>1000/Q920</f>
        <v>16.666666666666668</v>
      </c>
      <c r="S920" s="16">
        <f>8.33*R920</f>
        <v>138.83333333333334</v>
      </c>
      <c r="T920" s="16">
        <f>S920*1.33</f>
        <v>184.64833333333337</v>
      </c>
    </row>
    <row r="921" spans="1:37" x14ac:dyDescent="0.2">
      <c r="A921">
        <v>-123</v>
      </c>
      <c r="B921" s="10" t="s">
        <v>72</v>
      </c>
      <c r="C921" s="11" t="s">
        <v>1924</v>
      </c>
      <c r="D921" s="25" t="s">
        <v>1918</v>
      </c>
      <c r="E921" s="13">
        <v>27</v>
      </c>
      <c r="F921" s="13">
        <v>9</v>
      </c>
      <c r="G921" s="13">
        <f t="shared" si="40"/>
        <v>243</v>
      </c>
      <c r="H921" s="13">
        <v>124</v>
      </c>
      <c r="I921" s="14">
        <f t="shared" si="41"/>
        <v>-123.26027397260275</v>
      </c>
      <c r="P921">
        <v>102</v>
      </c>
      <c r="Q921" s="17">
        <v>102</v>
      </c>
      <c r="R921" s="16">
        <f>1000/Q921</f>
        <v>9.8039215686274517</v>
      </c>
      <c r="S921" s="16">
        <f>8.33*R921</f>
        <v>81.666666666666671</v>
      </c>
      <c r="T921" s="16">
        <f>S921*1.33</f>
        <v>108.61666666666667</v>
      </c>
      <c r="AK921" t="s">
        <v>1925</v>
      </c>
    </row>
    <row r="922" spans="1:37" x14ac:dyDescent="0.2">
      <c r="A922">
        <v>-122</v>
      </c>
      <c r="B922" s="10" t="s">
        <v>60</v>
      </c>
      <c r="D922" s="15" t="s">
        <v>1926</v>
      </c>
      <c r="E922" s="13">
        <v>26</v>
      </c>
      <c r="F922" s="13">
        <v>3</v>
      </c>
      <c r="G922" s="13">
        <f t="shared" si="40"/>
        <v>59</v>
      </c>
      <c r="H922" s="13">
        <v>123</v>
      </c>
      <c r="I922" s="14">
        <f t="shared" si="41"/>
        <v>-122.76712328767124</v>
      </c>
      <c r="J922" s="15" t="s">
        <v>1927</v>
      </c>
      <c r="T922" s="8"/>
      <c r="AG922" s="1">
        <v>1.5</v>
      </c>
      <c r="AH922" s="9">
        <v>1.5</v>
      </c>
      <c r="AI922" s="8">
        <f>1/AH922</f>
        <v>0.66666666666666663</v>
      </c>
      <c r="AJ922" s="8">
        <f>8.33*AI922</f>
        <v>5.5533333333333328</v>
      </c>
    </row>
    <row r="923" spans="1:37" x14ac:dyDescent="0.2">
      <c r="A923">
        <v>-122</v>
      </c>
      <c r="B923" s="10" t="s">
        <v>60</v>
      </c>
      <c r="C923" s="11" t="s">
        <v>39</v>
      </c>
      <c r="D923" s="15" t="s">
        <v>1926</v>
      </c>
      <c r="E923" s="13">
        <v>26</v>
      </c>
      <c r="F923" s="13">
        <v>3</v>
      </c>
      <c r="G923" s="13">
        <f t="shared" si="40"/>
        <v>59</v>
      </c>
      <c r="H923" s="13">
        <v>123</v>
      </c>
      <c r="I923" s="14">
        <f t="shared" si="41"/>
        <v>-122.76712328767124</v>
      </c>
      <c r="J923" s="15" t="s">
        <v>1928</v>
      </c>
      <c r="T923" s="8"/>
    </row>
    <row r="924" spans="1:37" x14ac:dyDescent="0.2">
      <c r="A924">
        <v>-122</v>
      </c>
      <c r="B924" s="10" t="s">
        <v>60</v>
      </c>
      <c r="C924" s="11" t="s">
        <v>42</v>
      </c>
      <c r="D924" s="15" t="s">
        <v>1929</v>
      </c>
      <c r="E924" s="13">
        <v>5</v>
      </c>
      <c r="F924" s="13">
        <v>4</v>
      </c>
      <c r="G924" s="13">
        <f t="shared" si="40"/>
        <v>90</v>
      </c>
      <c r="H924" s="13">
        <v>123</v>
      </c>
      <c r="I924" s="14">
        <f t="shared" si="41"/>
        <v>-122.73972602739725</v>
      </c>
      <c r="J924" s="15" t="s">
        <v>1930</v>
      </c>
      <c r="T924" s="8"/>
      <c r="AG924" s="1"/>
      <c r="AH924" s="9"/>
    </row>
    <row r="925" spans="1:37" x14ac:dyDescent="0.2">
      <c r="A925">
        <v>-122</v>
      </c>
      <c r="B925" s="10" t="s">
        <v>60</v>
      </c>
      <c r="C925" s="11" t="s">
        <v>1931</v>
      </c>
      <c r="D925" s="25" t="s">
        <v>1929</v>
      </c>
      <c r="E925" s="13">
        <v>5</v>
      </c>
      <c r="F925" s="13">
        <v>4</v>
      </c>
      <c r="G925" s="13">
        <f t="shared" si="40"/>
        <v>90</v>
      </c>
      <c r="H925" s="13">
        <v>123</v>
      </c>
      <c r="I925" s="14">
        <f t="shared" si="41"/>
        <v>-122.73972602739725</v>
      </c>
      <c r="J925" s="7" t="s">
        <v>1932</v>
      </c>
      <c r="K925" s="10" t="s">
        <v>1933</v>
      </c>
      <c r="L925" s="16">
        <v>75</v>
      </c>
      <c r="M925" s="16">
        <f>1000/L925</f>
        <v>13.333333333333334</v>
      </c>
      <c r="N925" s="16">
        <f>8.33*M925</f>
        <v>111.06666666666668</v>
      </c>
      <c r="O925" s="16">
        <f>1.613*N925</f>
        <v>179.15053333333336</v>
      </c>
      <c r="T925" s="8"/>
    </row>
    <row r="926" spans="1:37" x14ac:dyDescent="0.2">
      <c r="A926">
        <v>-122</v>
      </c>
      <c r="B926" s="10" t="s">
        <v>60</v>
      </c>
      <c r="C926" s="11" t="s">
        <v>1934</v>
      </c>
      <c r="D926" s="7" t="s">
        <v>1935</v>
      </c>
      <c r="E926" s="13">
        <v>7</v>
      </c>
      <c r="F926" s="13">
        <v>4</v>
      </c>
      <c r="G926" s="13">
        <f t="shared" si="40"/>
        <v>90</v>
      </c>
      <c r="H926" s="13">
        <v>123</v>
      </c>
      <c r="I926" s="14">
        <f t="shared" si="41"/>
        <v>-122.73424657534247</v>
      </c>
      <c r="J926" s="7" t="s">
        <v>1936</v>
      </c>
      <c r="K926" s="10">
        <v>72</v>
      </c>
      <c r="L926" s="16">
        <v>72</v>
      </c>
      <c r="M926" s="16">
        <f>1000/L926</f>
        <v>13.888888888888889</v>
      </c>
      <c r="N926" s="16">
        <f>8.33*M926</f>
        <v>115.69444444444444</v>
      </c>
      <c r="O926" s="16">
        <f>1.613*N926</f>
        <v>186.61513888888888</v>
      </c>
      <c r="T926" s="8"/>
    </row>
    <row r="927" spans="1:37" x14ac:dyDescent="0.2">
      <c r="A927">
        <v>-122</v>
      </c>
      <c r="B927" s="10" t="s">
        <v>60</v>
      </c>
      <c r="C927" s="11" t="s">
        <v>1937</v>
      </c>
      <c r="D927" s="7" t="s">
        <v>1930</v>
      </c>
      <c r="E927" s="13">
        <v>14</v>
      </c>
      <c r="F927" s="13">
        <v>4</v>
      </c>
      <c r="G927" s="13">
        <f t="shared" si="40"/>
        <v>90</v>
      </c>
      <c r="H927" s="13">
        <v>123</v>
      </c>
      <c r="I927" s="14">
        <f t="shared" si="41"/>
        <v>-122.71506849315068</v>
      </c>
      <c r="J927" s="7" t="s">
        <v>1938</v>
      </c>
      <c r="K927" s="10">
        <v>63</v>
      </c>
      <c r="L927" s="16">
        <v>63</v>
      </c>
      <c r="M927" s="16">
        <f>1000/L927</f>
        <v>15.873015873015873</v>
      </c>
      <c r="N927" s="16">
        <f>8.33*M927</f>
        <v>132.22222222222223</v>
      </c>
      <c r="O927" s="16">
        <f>1.613*N927</f>
        <v>213.27444444444444</v>
      </c>
      <c r="T927" s="8"/>
    </row>
    <row r="928" spans="1:37" x14ac:dyDescent="0.2">
      <c r="A928">
        <v>-122</v>
      </c>
      <c r="B928" s="10" t="s">
        <v>60</v>
      </c>
      <c r="C928" s="11" t="s">
        <v>45</v>
      </c>
      <c r="D928" s="15" t="s">
        <v>1938</v>
      </c>
      <c r="E928" s="13">
        <v>15</v>
      </c>
      <c r="F928" s="13">
        <v>4</v>
      </c>
      <c r="G928" s="13">
        <f t="shared" si="40"/>
        <v>90</v>
      </c>
      <c r="H928" s="13">
        <v>123</v>
      </c>
      <c r="I928" s="14">
        <f t="shared" si="41"/>
        <v>-122.71232876712328</v>
      </c>
      <c r="J928" s="15" t="s">
        <v>1927</v>
      </c>
      <c r="K928" s="10" t="s">
        <v>133</v>
      </c>
      <c r="T928" s="8"/>
      <c r="AC928">
        <v>10.75</v>
      </c>
      <c r="AD928" s="17">
        <v>10.75</v>
      </c>
      <c r="AE928" s="16">
        <f>1000/AD928</f>
        <v>93.023255813953483</v>
      </c>
      <c r="AF928" s="16">
        <f>8.33*AE928</f>
        <v>774.88372093023247</v>
      </c>
    </row>
    <row r="929" spans="1:37" x14ac:dyDescent="0.2">
      <c r="A929">
        <v>-122</v>
      </c>
      <c r="B929" s="10" t="s">
        <v>47</v>
      </c>
      <c r="D929" s="15" t="s">
        <v>1939</v>
      </c>
      <c r="E929" s="13">
        <v>24</v>
      </c>
      <c r="F929" s="13">
        <v>4</v>
      </c>
      <c r="G929" s="13">
        <f t="shared" si="40"/>
        <v>90</v>
      </c>
      <c r="H929" s="13">
        <v>123</v>
      </c>
      <c r="I929" s="14">
        <f t="shared" si="41"/>
        <v>-122.68767123287671</v>
      </c>
      <c r="J929" s="15" t="s">
        <v>1940</v>
      </c>
      <c r="T929" s="8"/>
      <c r="U929" s="1" t="s">
        <v>926</v>
      </c>
    </row>
    <row r="930" spans="1:37" x14ac:dyDescent="0.2">
      <c r="A930">
        <v>-122</v>
      </c>
      <c r="B930" s="10" t="s">
        <v>47</v>
      </c>
      <c r="C930" s="11" t="s">
        <v>39</v>
      </c>
      <c r="D930" s="15" t="s">
        <v>1939</v>
      </c>
      <c r="E930" s="13">
        <v>24</v>
      </c>
      <c r="F930" s="13">
        <v>4</v>
      </c>
      <c r="G930" s="13">
        <f t="shared" si="40"/>
        <v>90</v>
      </c>
      <c r="H930" s="13">
        <v>123</v>
      </c>
      <c r="I930" s="14">
        <f t="shared" si="41"/>
        <v>-122.68767123287671</v>
      </c>
      <c r="J930" s="15" t="s">
        <v>1941</v>
      </c>
      <c r="K930" s="10">
        <v>57</v>
      </c>
      <c r="L930" s="16">
        <v>57</v>
      </c>
      <c r="M930" s="16">
        <f>1000/L930</f>
        <v>17.543859649122808</v>
      </c>
      <c r="N930" s="16">
        <f>8.33*M930</f>
        <v>146.14035087719299</v>
      </c>
      <c r="O930" s="16">
        <f>1.613*N930</f>
        <v>235.72438596491227</v>
      </c>
      <c r="T930" s="8"/>
      <c r="U930" s="18"/>
    </row>
    <row r="931" spans="1:37" x14ac:dyDescent="0.2">
      <c r="A931">
        <v>-122</v>
      </c>
      <c r="B931" s="10" t="s">
        <v>47</v>
      </c>
      <c r="C931" s="11" t="s">
        <v>42</v>
      </c>
      <c r="D931" s="15" t="s">
        <v>1942</v>
      </c>
      <c r="E931" s="13">
        <v>4</v>
      </c>
      <c r="F931" s="13">
        <v>5</v>
      </c>
      <c r="G931" s="13">
        <f t="shared" si="40"/>
        <v>120</v>
      </c>
      <c r="H931" s="13">
        <v>123</v>
      </c>
      <c r="I931" s="14">
        <f t="shared" si="41"/>
        <v>-122.66027397260274</v>
      </c>
      <c r="J931" s="15" t="s">
        <v>1943</v>
      </c>
      <c r="T931" s="8"/>
    </row>
    <row r="932" spans="1:37" x14ac:dyDescent="0.2">
      <c r="A932">
        <v>-122</v>
      </c>
      <c r="B932" s="10" t="s">
        <v>47</v>
      </c>
      <c r="C932" s="11" t="s">
        <v>45</v>
      </c>
      <c r="D932" s="15" t="s">
        <v>1944</v>
      </c>
      <c r="E932" s="13">
        <v>14</v>
      </c>
      <c r="F932" s="13">
        <v>5</v>
      </c>
      <c r="G932" s="13">
        <f t="shared" si="40"/>
        <v>120</v>
      </c>
      <c r="H932" s="13">
        <v>123</v>
      </c>
      <c r="I932" s="14">
        <f t="shared" si="41"/>
        <v>-122.63287671232877</v>
      </c>
      <c r="J932" s="15" t="s">
        <v>1940</v>
      </c>
      <c r="K932" s="10">
        <v>51</v>
      </c>
      <c r="L932" s="16">
        <v>51</v>
      </c>
      <c r="M932" s="16">
        <f>1000/L932</f>
        <v>19.607843137254903</v>
      </c>
      <c r="N932" s="16">
        <f>8.33*M932</f>
        <v>163.33333333333334</v>
      </c>
      <c r="O932" s="16">
        <f>1.613*N932</f>
        <v>263.45666666666671</v>
      </c>
      <c r="T932" s="8"/>
    </row>
    <row r="933" spans="1:37" x14ac:dyDescent="0.2">
      <c r="A933">
        <v>-122</v>
      </c>
      <c r="B933" s="10" t="s">
        <v>47</v>
      </c>
      <c r="C933" s="11" t="s">
        <v>1456</v>
      </c>
      <c r="D933" s="25" t="s">
        <v>1945</v>
      </c>
      <c r="E933" s="13">
        <v>22</v>
      </c>
      <c r="F933" s="13">
        <v>5</v>
      </c>
      <c r="G933" s="13">
        <f t="shared" si="40"/>
        <v>120</v>
      </c>
      <c r="H933" s="13">
        <v>123</v>
      </c>
      <c r="I933" s="14">
        <f t="shared" si="41"/>
        <v>-122.61095890410959</v>
      </c>
      <c r="J933" s="25" t="s">
        <v>1940</v>
      </c>
      <c r="K933" s="10" t="s">
        <v>41</v>
      </c>
      <c r="T933" s="8"/>
      <c r="AK933" t="s">
        <v>447</v>
      </c>
    </row>
    <row r="934" spans="1:37" x14ac:dyDescent="0.2">
      <c r="A934">
        <v>-122</v>
      </c>
      <c r="B934" s="10" t="s">
        <v>47</v>
      </c>
      <c r="C934" s="11" t="s">
        <v>1946</v>
      </c>
      <c r="D934" s="25" t="s">
        <v>1947</v>
      </c>
      <c r="E934" s="13">
        <v>17</v>
      </c>
      <c r="F934" s="13">
        <v>5</v>
      </c>
      <c r="G934" s="13">
        <f t="shared" si="40"/>
        <v>120</v>
      </c>
      <c r="H934" s="13">
        <v>123</v>
      </c>
      <c r="I934" s="14">
        <f t="shared" si="41"/>
        <v>-122.62465753424658</v>
      </c>
      <c r="J934" s="7" t="s">
        <v>1948</v>
      </c>
      <c r="P934">
        <v>225</v>
      </c>
      <c r="Q934" s="17">
        <v>225</v>
      </c>
      <c r="R934" s="16">
        <f>1000/Q934</f>
        <v>4.4444444444444446</v>
      </c>
      <c r="S934" s="16">
        <f>8.33*R934</f>
        <v>37.022222222222226</v>
      </c>
      <c r="T934" s="16">
        <f>S934*1.33</f>
        <v>49.239555555555562</v>
      </c>
    </row>
    <row r="935" spans="1:37" x14ac:dyDescent="0.2">
      <c r="A935">
        <v>-122</v>
      </c>
      <c r="B935" s="10" t="s">
        <v>47</v>
      </c>
      <c r="C935" s="11" t="s">
        <v>1949</v>
      </c>
      <c r="D935" s="7" t="s">
        <v>1950</v>
      </c>
      <c r="E935" s="13">
        <v>19</v>
      </c>
      <c r="F935" s="13">
        <v>5</v>
      </c>
      <c r="G935" s="13">
        <f t="shared" si="40"/>
        <v>120</v>
      </c>
      <c r="H935" s="13">
        <v>123</v>
      </c>
      <c r="I935" s="14">
        <f t="shared" si="41"/>
        <v>-122.61917808219178</v>
      </c>
      <c r="J935" s="7" t="s">
        <v>1951</v>
      </c>
      <c r="P935">
        <v>204</v>
      </c>
      <c r="Q935" s="17">
        <v>204</v>
      </c>
      <c r="R935" s="16">
        <f>1000/Q935</f>
        <v>4.9019607843137258</v>
      </c>
      <c r="S935" s="16">
        <f>8.33*R935</f>
        <v>40.833333333333336</v>
      </c>
      <c r="T935" s="16">
        <f>S935*1.33</f>
        <v>54.308333333333337</v>
      </c>
    </row>
    <row r="936" spans="1:37" x14ac:dyDescent="0.2">
      <c r="A936">
        <v>-122</v>
      </c>
      <c r="B936" s="10" t="s">
        <v>47</v>
      </c>
      <c r="C936" s="11">
        <v>28</v>
      </c>
      <c r="D936" s="7" t="s">
        <v>1952</v>
      </c>
      <c r="E936" s="13">
        <v>21</v>
      </c>
      <c r="F936" s="13">
        <v>5</v>
      </c>
      <c r="G936" s="13">
        <f t="shared" si="40"/>
        <v>120</v>
      </c>
      <c r="H936" s="13">
        <v>123</v>
      </c>
      <c r="I936" s="14">
        <f t="shared" si="41"/>
        <v>-122.61369863013698</v>
      </c>
      <c r="P936">
        <v>180</v>
      </c>
      <c r="Q936" s="17">
        <v>180</v>
      </c>
      <c r="R936" s="16">
        <f>1000/Q936</f>
        <v>5.5555555555555554</v>
      </c>
      <c r="S936" s="16">
        <f>8.33*R936</f>
        <v>46.277777777777779</v>
      </c>
      <c r="T936" s="16">
        <f>S936*1.33</f>
        <v>61.549444444444447</v>
      </c>
    </row>
    <row r="937" spans="1:37" x14ac:dyDescent="0.2">
      <c r="A937">
        <v>-122</v>
      </c>
      <c r="B937" s="10" t="s">
        <v>47</v>
      </c>
      <c r="C937" s="11">
        <v>29</v>
      </c>
      <c r="D937" s="7" t="s">
        <v>1945</v>
      </c>
      <c r="E937" s="13">
        <v>22</v>
      </c>
      <c r="F937" s="13">
        <v>5</v>
      </c>
      <c r="G937" s="13">
        <f t="shared" si="40"/>
        <v>120</v>
      </c>
      <c r="H937" s="13">
        <v>123</v>
      </c>
      <c r="I937" s="14">
        <f t="shared" si="41"/>
        <v>-122.61095890410959</v>
      </c>
      <c r="P937">
        <v>162</v>
      </c>
      <c r="Q937" s="17">
        <v>162</v>
      </c>
      <c r="R937" s="16">
        <f>1000/Q937</f>
        <v>6.1728395061728394</v>
      </c>
      <c r="S937" s="16">
        <f>8.33*R937</f>
        <v>51.419753086419753</v>
      </c>
      <c r="T937" s="16">
        <f>S937*1.33</f>
        <v>68.388271604938282</v>
      </c>
    </row>
    <row r="938" spans="1:37" x14ac:dyDescent="0.2">
      <c r="A938">
        <v>-122</v>
      </c>
      <c r="B938" s="10" t="s">
        <v>65</v>
      </c>
      <c r="C938" s="11" t="s">
        <v>39</v>
      </c>
      <c r="D938" s="15" t="s">
        <v>1953</v>
      </c>
      <c r="E938" s="13">
        <v>24</v>
      </c>
      <c r="F938" s="13">
        <v>5</v>
      </c>
      <c r="G938" s="13">
        <f t="shared" si="40"/>
        <v>120</v>
      </c>
      <c r="H938" s="13">
        <v>123</v>
      </c>
      <c r="I938" s="14">
        <f t="shared" si="41"/>
        <v>-122.60547945205479</v>
      </c>
      <c r="J938" s="15" t="s">
        <v>1954</v>
      </c>
    </row>
    <row r="939" spans="1:37" x14ac:dyDescent="0.2">
      <c r="A939">
        <v>-122</v>
      </c>
      <c r="B939" s="10" t="s">
        <v>65</v>
      </c>
      <c r="C939" s="11" t="s">
        <v>42</v>
      </c>
      <c r="D939" s="15" t="s">
        <v>1955</v>
      </c>
      <c r="E939" s="13">
        <v>3</v>
      </c>
      <c r="F939" s="13">
        <v>6</v>
      </c>
      <c r="G939" s="13">
        <f t="shared" si="40"/>
        <v>151</v>
      </c>
      <c r="H939" s="13">
        <v>123</v>
      </c>
      <c r="I939" s="14">
        <f t="shared" si="41"/>
        <v>-122.57808219178082</v>
      </c>
      <c r="J939" s="15" t="s">
        <v>1956</v>
      </c>
      <c r="P939">
        <v>204</v>
      </c>
      <c r="Q939" s="17">
        <v>204</v>
      </c>
      <c r="R939" s="16">
        <f>1000/Q939</f>
        <v>4.9019607843137258</v>
      </c>
      <c r="S939" s="16">
        <f>8.33*R939</f>
        <v>40.833333333333336</v>
      </c>
      <c r="T939" s="16">
        <f>S939*1.33</f>
        <v>54.308333333333337</v>
      </c>
    </row>
    <row r="940" spans="1:37" x14ac:dyDescent="0.2">
      <c r="A940">
        <v>-122</v>
      </c>
      <c r="B940" s="10" t="s">
        <v>65</v>
      </c>
      <c r="C940" s="11" t="s">
        <v>45</v>
      </c>
      <c r="D940" s="15" t="s">
        <v>1957</v>
      </c>
      <c r="E940" s="13">
        <v>13</v>
      </c>
      <c r="F940" s="13">
        <v>6</v>
      </c>
      <c r="G940" s="13">
        <f t="shared" si="40"/>
        <v>151</v>
      </c>
      <c r="H940" s="13">
        <v>123</v>
      </c>
      <c r="I940" s="14">
        <f t="shared" si="41"/>
        <v>-122.55068493150685</v>
      </c>
      <c r="J940" s="15" t="s">
        <v>1958</v>
      </c>
      <c r="K940" s="10">
        <v>90</v>
      </c>
      <c r="L940" s="16">
        <v>90</v>
      </c>
      <c r="M940" s="16">
        <f>1000/L940</f>
        <v>11.111111111111111</v>
      </c>
      <c r="N940" s="16">
        <f>8.33*M940</f>
        <v>92.555555555555557</v>
      </c>
      <c r="O940" s="16">
        <f>1.613*N940</f>
        <v>149.29211111111113</v>
      </c>
      <c r="P940" t="s">
        <v>1959</v>
      </c>
      <c r="Q940" s="20">
        <v>282</v>
      </c>
      <c r="R940" s="19">
        <f>1000/Q940</f>
        <v>3.5460992907801416</v>
      </c>
      <c r="S940" s="19">
        <f>8.33*R940</f>
        <v>29.539007092198581</v>
      </c>
      <c r="T940" s="19">
        <f>S940*1.33</f>
        <v>39.286879432624112</v>
      </c>
    </row>
    <row r="941" spans="1:37" x14ac:dyDescent="0.2">
      <c r="A941">
        <v>-122</v>
      </c>
      <c r="B941" s="10" t="s">
        <v>679</v>
      </c>
      <c r="D941" s="15" t="s">
        <v>1960</v>
      </c>
      <c r="E941" s="13">
        <v>18</v>
      </c>
      <c r="F941" s="13">
        <v>9</v>
      </c>
      <c r="G941" s="13">
        <f t="shared" si="40"/>
        <v>243</v>
      </c>
      <c r="H941" s="13">
        <v>123</v>
      </c>
      <c r="I941" s="14">
        <f t="shared" si="41"/>
        <v>-122.28493150684932</v>
      </c>
      <c r="J941" s="15" t="s">
        <v>1961</v>
      </c>
      <c r="AG941" s="1">
        <v>1</v>
      </c>
      <c r="AH941" s="9">
        <v>1</v>
      </c>
      <c r="AI941" s="8">
        <f>1/AH941</f>
        <v>1</v>
      </c>
      <c r="AJ941" s="8">
        <f>8.33*AI941</f>
        <v>8.33</v>
      </c>
    </row>
    <row r="942" spans="1:37" x14ac:dyDescent="0.2">
      <c r="A942">
        <v>-122</v>
      </c>
      <c r="B942" s="10" t="s">
        <v>679</v>
      </c>
      <c r="C942" s="11" t="s">
        <v>39</v>
      </c>
      <c r="D942" s="15" t="s">
        <v>1960</v>
      </c>
      <c r="E942" s="13">
        <v>18</v>
      </c>
      <c r="F942" s="13">
        <v>9</v>
      </c>
      <c r="G942" s="13">
        <f t="shared" si="40"/>
        <v>243</v>
      </c>
      <c r="H942" s="13">
        <v>123</v>
      </c>
      <c r="I942" s="14">
        <f t="shared" si="41"/>
        <v>-122.28493150684932</v>
      </c>
      <c r="J942" s="15" t="s">
        <v>1962</v>
      </c>
      <c r="P942">
        <v>192</v>
      </c>
      <c r="Q942" s="17">
        <v>192</v>
      </c>
      <c r="R942" s="16">
        <f>1000/Q942</f>
        <v>5.208333333333333</v>
      </c>
      <c r="S942" s="16">
        <f>8.33*R942</f>
        <v>43.385416666666664</v>
      </c>
      <c r="T942" s="16">
        <f>S942*1.33</f>
        <v>57.702604166666667</v>
      </c>
      <c r="U942" t="s">
        <v>926</v>
      </c>
      <c r="AC942" t="s">
        <v>1699</v>
      </c>
    </row>
    <row r="943" spans="1:37" x14ac:dyDescent="0.2">
      <c r="A943">
        <v>-122</v>
      </c>
      <c r="B943" s="10" t="s">
        <v>679</v>
      </c>
      <c r="C943" s="11" t="s">
        <v>1963</v>
      </c>
      <c r="D943" s="7" t="s">
        <v>1960</v>
      </c>
      <c r="E943" s="13">
        <v>18</v>
      </c>
      <c r="F943" s="13">
        <v>9</v>
      </c>
      <c r="G943" s="13">
        <f t="shared" si="40"/>
        <v>243</v>
      </c>
      <c r="H943" s="13">
        <v>123</v>
      </c>
      <c r="I943" s="14">
        <f t="shared" si="41"/>
        <v>-122.28493150684932</v>
      </c>
      <c r="J943" s="7" t="s">
        <v>1964</v>
      </c>
      <c r="K943" s="10" t="s">
        <v>208</v>
      </c>
      <c r="L943" s="19"/>
    </row>
    <row r="944" spans="1:37" x14ac:dyDescent="0.2">
      <c r="A944">
        <v>-122</v>
      </c>
      <c r="B944" s="10" t="s">
        <v>679</v>
      </c>
      <c r="C944" s="11" t="s">
        <v>42</v>
      </c>
      <c r="D944" s="15" t="s">
        <v>1962</v>
      </c>
      <c r="E944" s="13">
        <v>28</v>
      </c>
      <c r="F944" s="13">
        <v>9</v>
      </c>
      <c r="G944" s="13">
        <f t="shared" si="40"/>
        <v>243</v>
      </c>
      <c r="H944" s="13">
        <v>123</v>
      </c>
      <c r="I944" s="14">
        <f t="shared" si="41"/>
        <v>-122.25753424657535</v>
      </c>
      <c r="J944" s="15" t="s">
        <v>1965</v>
      </c>
      <c r="P944">
        <v>189</v>
      </c>
      <c r="Q944" s="17">
        <v>189</v>
      </c>
      <c r="R944" s="16">
        <f>1000/Q944</f>
        <v>5.2910052910052912</v>
      </c>
      <c r="S944" s="16">
        <f>8.33*R944</f>
        <v>44.074074074074076</v>
      </c>
      <c r="T944" s="16">
        <f>S944*1.33</f>
        <v>58.618518518518528</v>
      </c>
      <c r="AC944">
        <v>6</v>
      </c>
      <c r="AD944" s="17">
        <v>6</v>
      </c>
      <c r="AE944" s="16">
        <f>1000/AD944</f>
        <v>166.66666666666666</v>
      </c>
      <c r="AF944" s="16">
        <f>8.33*AE944</f>
        <v>1388.3333333333333</v>
      </c>
    </row>
    <row r="945" spans="1:37" x14ac:dyDescent="0.2">
      <c r="A945">
        <v>-122</v>
      </c>
      <c r="B945" s="10" t="s">
        <v>679</v>
      </c>
      <c r="C945" s="11" t="s">
        <v>45</v>
      </c>
      <c r="D945" s="15" t="s">
        <v>1964</v>
      </c>
      <c r="E945" s="13">
        <v>8</v>
      </c>
      <c r="F945" s="13">
        <v>10</v>
      </c>
      <c r="G945" s="13">
        <f t="shared" si="40"/>
        <v>273</v>
      </c>
      <c r="H945" s="13">
        <v>123</v>
      </c>
      <c r="I945" s="14">
        <f t="shared" si="41"/>
        <v>-122.23013698630137</v>
      </c>
      <c r="J945" s="15" t="s">
        <v>1961</v>
      </c>
      <c r="K945" s="10">
        <v>45</v>
      </c>
      <c r="L945" s="16">
        <v>45</v>
      </c>
      <c r="M945" s="16">
        <f>1000/L945</f>
        <v>22.222222222222221</v>
      </c>
      <c r="N945" s="16">
        <f>8.33*M945</f>
        <v>185.11111111111111</v>
      </c>
      <c r="O945" s="16">
        <f>1.613*N945</f>
        <v>298.58422222222225</v>
      </c>
      <c r="P945" t="s">
        <v>1123</v>
      </c>
      <c r="Q945" s="20">
        <v>156</v>
      </c>
      <c r="R945" s="19">
        <f>1000/Q945</f>
        <v>6.4102564102564106</v>
      </c>
      <c r="S945" s="19">
        <f>8.33*R945</f>
        <v>53.397435897435898</v>
      </c>
      <c r="T945" s="19">
        <f>S945*1.33</f>
        <v>71.018589743589743</v>
      </c>
      <c r="AC945">
        <v>9</v>
      </c>
      <c r="AD945" s="17">
        <v>9</v>
      </c>
      <c r="AE945" s="16">
        <f>1000/AD945</f>
        <v>111.11111111111111</v>
      </c>
      <c r="AF945" s="16">
        <f>8.33*AE945</f>
        <v>925.55555555555554</v>
      </c>
    </row>
    <row r="946" spans="1:37" x14ac:dyDescent="0.2">
      <c r="A946">
        <v>-121</v>
      </c>
      <c r="B946" s="10" t="s">
        <v>65</v>
      </c>
      <c r="D946" s="15" t="s">
        <v>1966</v>
      </c>
      <c r="E946" s="13">
        <v>11</v>
      </c>
      <c r="F946" s="13">
        <v>6</v>
      </c>
      <c r="G946" s="13">
        <f t="shared" si="40"/>
        <v>151</v>
      </c>
      <c r="H946" s="13">
        <v>122</v>
      </c>
      <c r="I946" s="14">
        <f t="shared" si="41"/>
        <v>-121.55616438356165</v>
      </c>
      <c r="J946" s="15" t="s">
        <v>1967</v>
      </c>
      <c r="U946" s="1">
        <v>300</v>
      </c>
      <c r="V946" s="9">
        <v>300</v>
      </c>
      <c r="W946" s="8">
        <f>1000/V946</f>
        <v>3.3333333333333335</v>
      </c>
      <c r="X946" s="8">
        <f>8.33*W946</f>
        <v>27.766666666666669</v>
      </c>
      <c r="Y946" s="1" t="s">
        <v>41</v>
      </c>
      <c r="Z946" s="9"/>
      <c r="AA946" s="8"/>
      <c r="AB946" s="8"/>
      <c r="AC946" s="1"/>
      <c r="AD946" s="9"/>
      <c r="AE946" s="8"/>
      <c r="AF946" s="8"/>
    </row>
    <row r="947" spans="1:37" x14ac:dyDescent="0.2">
      <c r="A947">
        <v>-119</v>
      </c>
      <c r="B947" s="10" t="s">
        <v>60</v>
      </c>
      <c r="D947" s="15" t="s">
        <v>1968</v>
      </c>
      <c r="E947" s="13">
        <v>20</v>
      </c>
      <c r="F947" s="13">
        <v>4</v>
      </c>
      <c r="G947" s="13">
        <f t="shared" si="40"/>
        <v>90</v>
      </c>
      <c r="H947" s="13">
        <v>120</v>
      </c>
      <c r="I947" s="14">
        <f t="shared" si="41"/>
        <v>-119.6986301369863</v>
      </c>
      <c r="J947" s="15" t="s">
        <v>1969</v>
      </c>
      <c r="U947" s="1" t="s">
        <v>560</v>
      </c>
      <c r="V947" s="9"/>
      <c r="W947" s="8"/>
      <c r="X947" s="8"/>
      <c r="Y947" s="1">
        <v>16</v>
      </c>
      <c r="Z947" s="9">
        <v>16</v>
      </c>
      <c r="AA947" s="8">
        <f>1000/Z947</f>
        <v>62.5</v>
      </c>
      <c r="AB947" s="8">
        <f>8.33*AA947</f>
        <v>520.625</v>
      </c>
      <c r="AC947" s="1">
        <v>10</v>
      </c>
      <c r="AD947" s="9">
        <v>10</v>
      </c>
      <c r="AE947" s="8">
        <f>1000/AD947</f>
        <v>100</v>
      </c>
      <c r="AF947" s="8">
        <f>8.33*AE947</f>
        <v>833</v>
      </c>
      <c r="AG947" s="1">
        <v>1</v>
      </c>
      <c r="AH947" s="9">
        <v>1</v>
      </c>
      <c r="AI947" s="8">
        <f>1/AH947</f>
        <v>1</v>
      </c>
      <c r="AJ947" s="8">
        <f>8.33*AI947</f>
        <v>8.33</v>
      </c>
    </row>
    <row r="948" spans="1:37" x14ac:dyDescent="0.2">
      <c r="A948">
        <v>-119</v>
      </c>
      <c r="B948" s="10" t="s">
        <v>60</v>
      </c>
      <c r="C948" s="11" t="s">
        <v>39</v>
      </c>
      <c r="D948" s="15" t="s">
        <v>1968</v>
      </c>
      <c r="E948" s="13">
        <v>20</v>
      </c>
      <c r="F948" s="13">
        <v>4</v>
      </c>
      <c r="G948" s="13">
        <f t="shared" si="40"/>
        <v>90</v>
      </c>
      <c r="H948" s="13">
        <v>120</v>
      </c>
      <c r="I948" s="14">
        <f t="shared" si="41"/>
        <v>-119.6986301369863</v>
      </c>
      <c r="J948" s="15" t="s">
        <v>1970</v>
      </c>
      <c r="K948" s="10">
        <v>32</v>
      </c>
      <c r="L948" s="16">
        <v>32</v>
      </c>
      <c r="M948" s="16">
        <f>1000/L948</f>
        <v>31.25</v>
      </c>
      <c r="N948" s="16">
        <f>8.33*M948</f>
        <v>260.3125</v>
      </c>
      <c r="O948" s="16">
        <f>1.613*N948</f>
        <v>419.88406249999997</v>
      </c>
      <c r="Z948" s="20"/>
    </row>
    <row r="949" spans="1:37" x14ac:dyDescent="0.2">
      <c r="A949">
        <v>-119</v>
      </c>
      <c r="B949" s="10" t="s">
        <v>60</v>
      </c>
      <c r="C949" s="11" t="s">
        <v>1606</v>
      </c>
      <c r="D949" s="7" t="s">
        <v>1968</v>
      </c>
      <c r="E949" s="13">
        <v>20</v>
      </c>
      <c r="F949" s="13">
        <v>4</v>
      </c>
      <c r="G949" s="13">
        <f t="shared" si="40"/>
        <v>90</v>
      </c>
      <c r="H949" s="13">
        <v>120</v>
      </c>
      <c r="I949" s="14">
        <f t="shared" si="41"/>
        <v>-119.6986301369863</v>
      </c>
      <c r="J949" s="7" t="s">
        <v>1971</v>
      </c>
      <c r="P949">
        <v>90</v>
      </c>
      <c r="Q949" s="17">
        <v>90</v>
      </c>
      <c r="R949" s="16">
        <f>1000/Q949</f>
        <v>11.111111111111111</v>
      </c>
      <c r="S949" s="16">
        <f>8.33*R949</f>
        <v>92.555555555555557</v>
      </c>
      <c r="T949" s="16">
        <f>S949*1.33</f>
        <v>123.09888888888889</v>
      </c>
    </row>
    <row r="950" spans="1:37" x14ac:dyDescent="0.2">
      <c r="A950">
        <v>-119</v>
      </c>
      <c r="B950" s="10" t="s">
        <v>60</v>
      </c>
      <c r="C950" s="11" t="s">
        <v>1972</v>
      </c>
      <c r="D950" s="7" t="s">
        <v>1973</v>
      </c>
      <c r="E950" s="13">
        <v>25</v>
      </c>
      <c r="F950" s="13">
        <v>4</v>
      </c>
      <c r="G950" s="13">
        <f t="shared" si="40"/>
        <v>90</v>
      </c>
      <c r="H950" s="13">
        <v>120</v>
      </c>
      <c r="I950" s="14">
        <f t="shared" si="41"/>
        <v>-119.68493150684931</v>
      </c>
      <c r="J950" s="7" t="s">
        <v>1974</v>
      </c>
      <c r="P950" t="s">
        <v>1975</v>
      </c>
      <c r="Q950" s="17">
        <v>87</v>
      </c>
      <c r="R950" s="16">
        <f>1000/Q950</f>
        <v>11.494252873563218</v>
      </c>
      <c r="S950" s="16">
        <f>8.33*R950</f>
        <v>95.747126436781599</v>
      </c>
      <c r="T950" s="16">
        <f>S950*1.33</f>
        <v>127.34367816091954</v>
      </c>
      <c r="AK950" t="s">
        <v>1976</v>
      </c>
    </row>
    <row r="951" spans="1:37" x14ac:dyDescent="0.2">
      <c r="A951">
        <v>-119</v>
      </c>
      <c r="B951" s="10" t="s">
        <v>60</v>
      </c>
      <c r="C951" s="11" t="s">
        <v>42</v>
      </c>
      <c r="D951" s="15" t="s">
        <v>1977</v>
      </c>
      <c r="E951" s="13">
        <v>30</v>
      </c>
      <c r="F951" s="13">
        <v>4</v>
      </c>
      <c r="G951" s="13">
        <f t="shared" si="40"/>
        <v>90</v>
      </c>
      <c r="H951" s="13">
        <v>120</v>
      </c>
      <c r="I951" s="14">
        <f t="shared" si="41"/>
        <v>-119.67123287671232</v>
      </c>
      <c r="J951" s="15" t="s">
        <v>1974</v>
      </c>
      <c r="K951" s="10">
        <v>36</v>
      </c>
      <c r="L951" s="16">
        <v>36</v>
      </c>
      <c r="M951" s="16">
        <f>1000/L951</f>
        <v>27.777777777777779</v>
      </c>
      <c r="N951" s="16">
        <f>8.33*M951</f>
        <v>231.38888888888889</v>
      </c>
      <c r="O951" s="16">
        <f>1.613*N951</f>
        <v>373.23027777777776</v>
      </c>
      <c r="T951" s="8"/>
      <c r="AK951" t="s">
        <v>1978</v>
      </c>
    </row>
    <row r="952" spans="1:37" x14ac:dyDescent="0.2">
      <c r="A952">
        <v>-119</v>
      </c>
      <c r="B952" s="10" t="s">
        <v>60</v>
      </c>
      <c r="C952" s="11" t="s">
        <v>45</v>
      </c>
      <c r="D952" s="15" t="s">
        <v>1979</v>
      </c>
      <c r="E952" s="13">
        <v>10</v>
      </c>
      <c r="F952" s="13">
        <v>5</v>
      </c>
      <c r="G952" s="13">
        <f t="shared" si="40"/>
        <v>120</v>
      </c>
      <c r="H952" s="13">
        <v>120</v>
      </c>
      <c r="I952" s="14">
        <f t="shared" si="41"/>
        <v>-119.64383561643835</v>
      </c>
      <c r="J952" s="15" t="s">
        <v>1969</v>
      </c>
      <c r="K952" s="10" t="s">
        <v>1980</v>
      </c>
      <c r="L952" s="16">
        <v>36</v>
      </c>
      <c r="M952" s="16">
        <f>1000/L952</f>
        <v>27.777777777777779</v>
      </c>
      <c r="N952" s="16">
        <f>8.33*M952</f>
        <v>231.38888888888889</v>
      </c>
      <c r="O952" s="16">
        <f>1.613*N952</f>
        <v>373.23027777777776</v>
      </c>
      <c r="T952" s="8"/>
      <c r="AK952" t="s">
        <v>1981</v>
      </c>
    </row>
    <row r="953" spans="1:37" x14ac:dyDescent="0.2">
      <c r="A953">
        <v>-199</v>
      </c>
      <c r="B953" s="10" t="s">
        <v>47</v>
      </c>
      <c r="D953" s="15" t="s">
        <v>1982</v>
      </c>
      <c r="E953" s="13">
        <v>20</v>
      </c>
      <c r="F953" s="13">
        <v>5</v>
      </c>
      <c r="G953" s="13">
        <f t="shared" si="40"/>
        <v>120</v>
      </c>
      <c r="H953" s="13">
        <v>120</v>
      </c>
      <c r="I953" s="14">
        <f t="shared" si="41"/>
        <v>-119.61643835616438</v>
      </c>
      <c r="J953" s="15" t="s">
        <v>1983</v>
      </c>
      <c r="T953" s="8"/>
      <c r="AG953" s="1">
        <v>0.67</v>
      </c>
      <c r="AH953" s="9">
        <v>0.67</v>
      </c>
      <c r="AI953" s="8">
        <f>1/AH953</f>
        <v>1.4925373134328357</v>
      </c>
      <c r="AJ953" s="8">
        <f>8.33*AI953</f>
        <v>12.432835820895521</v>
      </c>
    </row>
    <row r="954" spans="1:37" x14ac:dyDescent="0.2">
      <c r="A954">
        <v>-119</v>
      </c>
      <c r="B954" s="10" t="s">
        <v>47</v>
      </c>
      <c r="C954" s="11" t="s">
        <v>39</v>
      </c>
      <c r="D954" s="15" t="s">
        <v>1982</v>
      </c>
      <c r="E954" s="13">
        <v>20</v>
      </c>
      <c r="F954" s="13">
        <v>5</v>
      </c>
      <c r="G954" s="13">
        <f t="shared" si="40"/>
        <v>120</v>
      </c>
      <c r="H954" s="13">
        <v>120</v>
      </c>
      <c r="I954" s="14">
        <f t="shared" si="41"/>
        <v>-119.61643835616438</v>
      </c>
      <c r="J954" s="15" t="s">
        <v>1984</v>
      </c>
      <c r="T954" s="8"/>
      <c r="AC954" t="s">
        <v>1985</v>
      </c>
      <c r="AD954" s="17">
        <v>10</v>
      </c>
      <c r="AE954" s="16">
        <f>1000/AD954</f>
        <v>100</v>
      </c>
      <c r="AF954" s="16">
        <f>8.33*AE954</f>
        <v>833</v>
      </c>
    </row>
    <row r="955" spans="1:37" x14ac:dyDescent="0.2">
      <c r="A955">
        <v>-119</v>
      </c>
      <c r="B955" s="10" t="s">
        <v>47</v>
      </c>
      <c r="C955" s="11" t="s">
        <v>1606</v>
      </c>
      <c r="D955" s="7" t="s">
        <v>1982</v>
      </c>
      <c r="E955" s="13">
        <v>20</v>
      </c>
      <c r="F955" s="13">
        <v>5</v>
      </c>
      <c r="G955" s="13">
        <f t="shared" si="40"/>
        <v>120</v>
      </c>
      <c r="H955" s="13">
        <v>120</v>
      </c>
      <c r="I955" s="14">
        <f t="shared" si="41"/>
        <v>-119.61643835616438</v>
      </c>
      <c r="J955" s="7" t="s">
        <v>1986</v>
      </c>
      <c r="K955" s="10">
        <v>40</v>
      </c>
      <c r="L955" s="16">
        <v>40</v>
      </c>
      <c r="M955" s="16">
        <f>1000/L955</f>
        <v>25</v>
      </c>
      <c r="N955" s="16">
        <f>8.33*M955</f>
        <v>208.25</v>
      </c>
      <c r="O955" s="16">
        <f>1.613*N955</f>
        <v>335.90724999999998</v>
      </c>
      <c r="P955" s="34"/>
      <c r="T955" s="8"/>
    </row>
    <row r="956" spans="1:37" x14ac:dyDescent="0.2">
      <c r="A956">
        <v>-119</v>
      </c>
      <c r="B956" s="10" t="s">
        <v>47</v>
      </c>
      <c r="C956" s="11" t="s">
        <v>1987</v>
      </c>
      <c r="D956" s="7" t="s">
        <v>1986</v>
      </c>
      <c r="E956" s="13">
        <v>25</v>
      </c>
      <c r="F956" s="13">
        <v>5</v>
      </c>
      <c r="G956" s="13">
        <f t="shared" si="40"/>
        <v>120</v>
      </c>
      <c r="H956" s="13">
        <v>120</v>
      </c>
      <c r="I956" s="14">
        <f t="shared" si="41"/>
        <v>-119.60273972602739</v>
      </c>
      <c r="J956" s="7" t="s">
        <v>1984</v>
      </c>
      <c r="K956" s="10">
        <v>42</v>
      </c>
      <c r="L956" s="16">
        <v>42</v>
      </c>
      <c r="M956" s="16">
        <f>1000/L956</f>
        <v>23.80952380952381</v>
      </c>
      <c r="N956" s="16">
        <f>8.33*M956</f>
        <v>198.33333333333334</v>
      </c>
      <c r="O956" s="16">
        <f>1.613*N956</f>
        <v>319.91166666666669</v>
      </c>
      <c r="T956" s="8"/>
    </row>
    <row r="957" spans="1:37" x14ac:dyDescent="0.2">
      <c r="A957">
        <v>-119</v>
      </c>
      <c r="B957" s="10" t="s">
        <v>47</v>
      </c>
      <c r="C957" s="11" t="s">
        <v>1988</v>
      </c>
      <c r="D957" s="7" t="s">
        <v>1989</v>
      </c>
      <c r="E957" s="13">
        <v>30</v>
      </c>
      <c r="F957" s="13">
        <v>5</v>
      </c>
      <c r="G957" s="13">
        <f t="shared" si="40"/>
        <v>120</v>
      </c>
      <c r="H957" s="13">
        <v>120</v>
      </c>
      <c r="I957" s="14">
        <f t="shared" si="41"/>
        <v>-119.58904109589041</v>
      </c>
      <c r="J957" s="7" t="s">
        <v>1990</v>
      </c>
      <c r="K957" s="10">
        <v>40</v>
      </c>
      <c r="L957" s="16">
        <v>40</v>
      </c>
      <c r="M957" s="16">
        <f>1000/L957</f>
        <v>25</v>
      </c>
      <c r="N957" s="16">
        <f>8.33*M957</f>
        <v>208.25</v>
      </c>
      <c r="O957" s="16">
        <f>1.613*N957</f>
        <v>335.90724999999998</v>
      </c>
      <c r="T957" s="8"/>
    </row>
    <row r="958" spans="1:37" x14ac:dyDescent="0.2">
      <c r="A958">
        <v>-119</v>
      </c>
      <c r="B958" s="10" t="s">
        <v>47</v>
      </c>
      <c r="C958" s="11" t="s">
        <v>1991</v>
      </c>
      <c r="D958" s="15" t="s">
        <v>1982</v>
      </c>
      <c r="E958" s="13">
        <v>20</v>
      </c>
      <c r="F958" s="13">
        <v>5</v>
      </c>
      <c r="G958" s="13">
        <f t="shared" si="40"/>
        <v>120</v>
      </c>
      <c r="H958" s="13">
        <v>120</v>
      </c>
      <c r="I958" s="14">
        <f t="shared" si="41"/>
        <v>-119.61643835616438</v>
      </c>
      <c r="J958" s="15" t="s">
        <v>1992</v>
      </c>
      <c r="P958">
        <v>84</v>
      </c>
      <c r="Q958" s="17">
        <v>84</v>
      </c>
      <c r="R958" s="16">
        <f>1000/Q958</f>
        <v>11.904761904761905</v>
      </c>
      <c r="S958" s="16">
        <f>8.33*R958</f>
        <v>99.166666666666671</v>
      </c>
      <c r="T958" s="16">
        <f>S958*1.33</f>
        <v>131.89166666666668</v>
      </c>
    </row>
    <row r="959" spans="1:37" x14ac:dyDescent="0.2">
      <c r="A959">
        <v>-119</v>
      </c>
      <c r="B959" s="10" t="s">
        <v>47</v>
      </c>
      <c r="C959" s="11" t="s">
        <v>1993</v>
      </c>
      <c r="D959" s="7" t="s">
        <v>1994</v>
      </c>
      <c r="E959" s="13">
        <v>2</v>
      </c>
      <c r="F959" s="13">
        <v>6</v>
      </c>
      <c r="G959" s="13">
        <f t="shared" si="40"/>
        <v>151</v>
      </c>
      <c r="H959" s="13">
        <v>120</v>
      </c>
      <c r="I959" s="14">
        <f t="shared" si="41"/>
        <v>-119.58082191780822</v>
      </c>
      <c r="J959" s="7" t="s">
        <v>1995</v>
      </c>
      <c r="P959">
        <v>90</v>
      </c>
      <c r="Q959" s="17">
        <v>90</v>
      </c>
      <c r="R959" s="16">
        <f>1000/Q959</f>
        <v>11.111111111111111</v>
      </c>
      <c r="S959" s="16">
        <f>8.33*R959</f>
        <v>92.555555555555557</v>
      </c>
      <c r="T959" s="16">
        <f>S959*1.33</f>
        <v>123.09888888888889</v>
      </c>
    </row>
    <row r="960" spans="1:37" x14ac:dyDescent="0.2">
      <c r="A960">
        <v>-119</v>
      </c>
      <c r="B960" s="10" t="s">
        <v>47</v>
      </c>
      <c r="C960" s="11" t="s">
        <v>45</v>
      </c>
      <c r="D960" s="15" t="s">
        <v>1996</v>
      </c>
      <c r="E960" s="13">
        <v>9</v>
      </c>
      <c r="F960" s="13">
        <v>6</v>
      </c>
      <c r="G960" s="13">
        <f t="shared" si="40"/>
        <v>151</v>
      </c>
      <c r="H960" s="13">
        <v>120</v>
      </c>
      <c r="I960" s="14">
        <f t="shared" si="41"/>
        <v>-119.56164383561644</v>
      </c>
      <c r="J960" s="15" t="s">
        <v>1983</v>
      </c>
      <c r="AC960">
        <v>11</v>
      </c>
      <c r="AD960" s="17">
        <v>11</v>
      </c>
      <c r="AE960" s="16">
        <f>1000/AD960</f>
        <v>90.909090909090907</v>
      </c>
      <c r="AF960" s="16">
        <f>8.33*AE960</f>
        <v>757.27272727272725</v>
      </c>
    </row>
    <row r="961" spans="1:36" x14ac:dyDescent="0.2">
      <c r="A961">
        <v>-119</v>
      </c>
      <c r="B961" s="10" t="s">
        <v>47</v>
      </c>
      <c r="C961" s="11" t="s">
        <v>1682</v>
      </c>
      <c r="D961" s="7" t="s">
        <v>1996</v>
      </c>
      <c r="E961" s="13">
        <v>9</v>
      </c>
      <c r="F961" s="13">
        <v>6</v>
      </c>
      <c r="G961" s="13">
        <f t="shared" si="40"/>
        <v>151</v>
      </c>
      <c r="H961" s="13">
        <v>120</v>
      </c>
      <c r="I961" s="14">
        <f t="shared" si="41"/>
        <v>-119.56164383561644</v>
      </c>
      <c r="J961" s="7" t="s">
        <v>1983</v>
      </c>
      <c r="P961" t="s">
        <v>1997</v>
      </c>
      <c r="Q961" s="20">
        <v>96</v>
      </c>
      <c r="R961" s="19">
        <f>1000/Q961</f>
        <v>10.416666666666666</v>
      </c>
      <c r="S961" s="19">
        <f>8.33*R961</f>
        <v>86.770833333333329</v>
      </c>
      <c r="T961" s="16">
        <f>S961*1.33</f>
        <v>115.40520833333333</v>
      </c>
    </row>
    <row r="962" spans="1:36" x14ac:dyDescent="0.2">
      <c r="A962">
        <v>-119</v>
      </c>
      <c r="B962" s="10" t="s">
        <v>47</v>
      </c>
      <c r="C962" s="11" t="s">
        <v>1998</v>
      </c>
      <c r="D962" s="7" t="s">
        <v>1999</v>
      </c>
      <c r="E962" s="13">
        <v>11</v>
      </c>
      <c r="F962" s="13">
        <v>6</v>
      </c>
      <c r="G962" s="13">
        <f t="shared" ref="G962:G1025" si="42">INDEX(A$1502:A$1513,F962)</f>
        <v>151</v>
      </c>
      <c r="H962" s="13">
        <v>120</v>
      </c>
      <c r="I962" s="14">
        <f t="shared" si="41"/>
        <v>-119.55616438356165</v>
      </c>
      <c r="J962" s="7" t="s">
        <v>1983</v>
      </c>
      <c r="K962" s="10">
        <v>42</v>
      </c>
      <c r="L962" s="16">
        <v>42</v>
      </c>
      <c r="M962" s="16">
        <f>1000/L962</f>
        <v>23.80952380952381</v>
      </c>
      <c r="N962" s="16">
        <f>8.33*M962</f>
        <v>198.33333333333334</v>
      </c>
      <c r="O962" s="16">
        <f>1.613*N962</f>
        <v>319.91166666666669</v>
      </c>
    </row>
    <row r="963" spans="1:36" x14ac:dyDescent="0.2">
      <c r="A963">
        <v>-119</v>
      </c>
      <c r="B963" s="10" t="s">
        <v>65</v>
      </c>
      <c r="D963" s="26" t="s">
        <v>2000</v>
      </c>
      <c r="E963" s="13">
        <v>18</v>
      </c>
      <c r="F963" s="13">
        <v>6</v>
      </c>
      <c r="G963" s="13">
        <f t="shared" si="42"/>
        <v>151</v>
      </c>
      <c r="H963" s="13">
        <v>120</v>
      </c>
      <c r="I963" s="14">
        <f t="shared" ref="I963:I1026" si="43">($E963+$G963)/365-$H963</f>
        <v>-119.53698630136986</v>
      </c>
      <c r="J963" s="26" t="s">
        <v>2001</v>
      </c>
      <c r="K963" s="2">
        <v>43</v>
      </c>
      <c r="L963" s="8">
        <v>43</v>
      </c>
      <c r="M963" s="8">
        <f>1000/L963</f>
        <v>23.255813953488371</v>
      </c>
      <c r="N963" s="8">
        <f>8.33*M963</f>
        <v>193.72093023255812</v>
      </c>
      <c r="O963" s="8">
        <f>1.613*N963</f>
        <v>312.47186046511627</v>
      </c>
    </row>
    <row r="964" spans="1:36" x14ac:dyDescent="0.2">
      <c r="A964">
        <v>-119</v>
      </c>
      <c r="B964" s="10" t="s">
        <v>65</v>
      </c>
      <c r="C964" s="11" t="s">
        <v>39</v>
      </c>
      <c r="D964" s="15" t="s">
        <v>2000</v>
      </c>
      <c r="E964" s="13">
        <v>18</v>
      </c>
      <c r="F964" s="13">
        <v>6</v>
      </c>
      <c r="G964" s="13">
        <f t="shared" si="42"/>
        <v>151</v>
      </c>
      <c r="H964" s="13">
        <v>120</v>
      </c>
      <c r="I964" s="14">
        <f t="shared" si="43"/>
        <v>-119.53698630136986</v>
      </c>
      <c r="J964" s="15" t="s">
        <v>2002</v>
      </c>
      <c r="K964" s="2"/>
      <c r="L964" s="8"/>
      <c r="P964">
        <v>99</v>
      </c>
      <c r="Q964" s="17">
        <v>99</v>
      </c>
      <c r="R964" s="16">
        <f>1000/Q964</f>
        <v>10.1010101010101</v>
      </c>
      <c r="S964" s="16">
        <f>8.33*R964</f>
        <v>84.141414141414131</v>
      </c>
      <c r="T964" s="16">
        <f>S964*1.33</f>
        <v>111.9080808080808</v>
      </c>
      <c r="AC964" t="s">
        <v>1985</v>
      </c>
      <c r="AD964" s="17">
        <v>10</v>
      </c>
      <c r="AE964" s="16">
        <f>1000/AD964</f>
        <v>100</v>
      </c>
      <c r="AF964" s="16">
        <f>8.33*AE964</f>
        <v>833</v>
      </c>
      <c r="AG964" s="1">
        <v>1</v>
      </c>
      <c r="AH964" s="9">
        <v>1</v>
      </c>
      <c r="AI964" s="8">
        <f>1/AH964</f>
        <v>1</v>
      </c>
      <c r="AJ964" s="8">
        <f>8.33*AI964</f>
        <v>8.33</v>
      </c>
    </row>
    <row r="965" spans="1:36" x14ac:dyDescent="0.2">
      <c r="A965">
        <v>-119</v>
      </c>
      <c r="B965" s="10" t="s">
        <v>65</v>
      </c>
      <c r="C965" s="11" t="s">
        <v>42</v>
      </c>
      <c r="D965" s="15" t="s">
        <v>2003</v>
      </c>
      <c r="E965" s="13">
        <v>28</v>
      </c>
      <c r="F965" s="13">
        <v>6</v>
      </c>
      <c r="G965" s="13">
        <f t="shared" si="42"/>
        <v>151</v>
      </c>
      <c r="H965" s="13">
        <v>120</v>
      </c>
      <c r="I965" s="14">
        <f t="shared" si="43"/>
        <v>-119.50958904109589</v>
      </c>
      <c r="J965" s="15" t="s">
        <v>2004</v>
      </c>
    </row>
    <row r="966" spans="1:36" x14ac:dyDescent="0.2">
      <c r="A966">
        <v>-119</v>
      </c>
      <c r="B966" s="10" t="s">
        <v>65</v>
      </c>
      <c r="C966" s="11" t="s">
        <v>45</v>
      </c>
      <c r="D966" s="15" t="s">
        <v>2005</v>
      </c>
      <c r="E966" s="13">
        <v>8</v>
      </c>
      <c r="F966" s="13">
        <v>7</v>
      </c>
      <c r="G966" s="13">
        <f t="shared" si="42"/>
        <v>181</v>
      </c>
      <c r="H966" s="13">
        <v>120</v>
      </c>
      <c r="I966" s="14">
        <f t="shared" si="43"/>
        <v>-119.48219178082192</v>
      </c>
      <c r="J966" s="15" t="s">
        <v>2001</v>
      </c>
      <c r="AC966">
        <v>11</v>
      </c>
      <c r="AD966" s="17">
        <v>11</v>
      </c>
      <c r="AE966" s="16">
        <f>1000/AD966</f>
        <v>90.909090909090907</v>
      </c>
      <c r="AF966" s="16">
        <f>8.33*AE966</f>
        <v>757.27272727272725</v>
      </c>
    </row>
    <row r="967" spans="1:36" x14ac:dyDescent="0.2">
      <c r="A967">
        <v>-118</v>
      </c>
      <c r="B967" s="10" t="s">
        <v>60</v>
      </c>
      <c r="D967" s="15" t="s">
        <v>2006</v>
      </c>
      <c r="E967" s="13">
        <v>9</v>
      </c>
      <c r="F967" s="13">
        <v>4</v>
      </c>
      <c r="G967" s="13">
        <f t="shared" si="42"/>
        <v>90</v>
      </c>
      <c r="H967" s="13">
        <v>119</v>
      </c>
      <c r="I967" s="14">
        <f t="shared" si="43"/>
        <v>-118.72876712328767</v>
      </c>
      <c r="J967" s="15" t="s">
        <v>2007</v>
      </c>
      <c r="U967" s="1">
        <v>180</v>
      </c>
      <c r="V967" s="9">
        <v>180</v>
      </c>
      <c r="W967" s="8">
        <f>1000/V967</f>
        <v>5.5555555555555554</v>
      </c>
      <c r="X967" s="8">
        <f>8.33*W967</f>
        <v>46.277777777777779</v>
      </c>
      <c r="AG967" s="1" t="s">
        <v>1596</v>
      </c>
      <c r="AH967" s="21">
        <v>1</v>
      </c>
      <c r="AI967" s="22">
        <f>1/AH967</f>
        <v>1</v>
      </c>
      <c r="AJ967" s="22">
        <f>8.33*AI967</f>
        <v>8.33</v>
      </c>
    </row>
    <row r="968" spans="1:36" x14ac:dyDescent="0.2">
      <c r="A968">
        <v>-118</v>
      </c>
      <c r="B968" s="10" t="s">
        <v>60</v>
      </c>
      <c r="C968" s="11" t="s">
        <v>39</v>
      </c>
      <c r="D968" s="15" t="s">
        <v>2006</v>
      </c>
      <c r="E968" s="13">
        <v>9</v>
      </c>
      <c r="F968" s="13">
        <v>4</v>
      </c>
      <c r="G968" s="13">
        <f t="shared" si="42"/>
        <v>90</v>
      </c>
      <c r="H968" s="13">
        <v>119</v>
      </c>
      <c r="I968" s="14">
        <f t="shared" si="43"/>
        <v>-118.72876712328767</v>
      </c>
      <c r="J968" s="15" t="s">
        <v>2008</v>
      </c>
      <c r="P968">
        <v>66</v>
      </c>
      <c r="Q968" s="17">
        <v>66</v>
      </c>
      <c r="R968" s="16">
        <f>1000/Q968</f>
        <v>15.151515151515152</v>
      </c>
      <c r="S968" s="16">
        <f>8.33*R968</f>
        <v>126.21212121212122</v>
      </c>
      <c r="T968" s="16">
        <f>S968*1.33</f>
        <v>167.86212121212122</v>
      </c>
      <c r="Y968" t="s">
        <v>41</v>
      </c>
    </row>
    <row r="969" spans="1:36" x14ac:dyDescent="0.2">
      <c r="A969">
        <v>-118</v>
      </c>
      <c r="B969" s="10" t="s">
        <v>60</v>
      </c>
      <c r="C969" s="11" t="s">
        <v>1539</v>
      </c>
      <c r="D969" s="7" t="s">
        <v>2006</v>
      </c>
      <c r="E969" s="13">
        <v>9</v>
      </c>
      <c r="F969" s="13">
        <v>4</v>
      </c>
      <c r="G969" s="13">
        <f t="shared" si="42"/>
        <v>90</v>
      </c>
      <c r="H969" s="13">
        <v>119</v>
      </c>
      <c r="I969" s="14">
        <f t="shared" si="43"/>
        <v>-118.72876712328767</v>
      </c>
      <c r="J969" s="7" t="s">
        <v>2009</v>
      </c>
      <c r="K969" s="10">
        <v>30</v>
      </c>
      <c r="L969" s="16">
        <v>30</v>
      </c>
      <c r="M969" s="16">
        <f>1000/L969</f>
        <v>33.333333333333336</v>
      </c>
      <c r="N969" s="16">
        <f>8.33*M969</f>
        <v>277.66666666666669</v>
      </c>
      <c r="O969" s="16">
        <f>1.613*N969</f>
        <v>447.87633333333338</v>
      </c>
    </row>
    <row r="970" spans="1:36" x14ac:dyDescent="0.2">
      <c r="A970">
        <v>-118</v>
      </c>
      <c r="B970" s="10" t="s">
        <v>60</v>
      </c>
      <c r="C970" s="11" t="s">
        <v>2010</v>
      </c>
      <c r="D970" s="7" t="s">
        <v>2011</v>
      </c>
      <c r="E970" s="13">
        <v>12</v>
      </c>
      <c r="F970" s="13">
        <v>4</v>
      </c>
      <c r="G970" s="13">
        <f t="shared" si="42"/>
        <v>90</v>
      </c>
      <c r="H970" s="13">
        <v>119</v>
      </c>
      <c r="I970" s="14">
        <f t="shared" si="43"/>
        <v>-118.72054794520548</v>
      </c>
      <c r="J970" s="7" t="s">
        <v>2012</v>
      </c>
      <c r="K970" s="10">
        <v>27</v>
      </c>
      <c r="L970" s="16">
        <v>27</v>
      </c>
      <c r="M970" s="16">
        <f>1000/L970</f>
        <v>37.037037037037038</v>
      </c>
      <c r="N970" s="16">
        <f>8.33*M970</f>
        <v>308.51851851851853</v>
      </c>
      <c r="O970" s="16">
        <f>1.613*N970</f>
        <v>497.64037037037036</v>
      </c>
    </row>
    <row r="971" spans="1:36" x14ac:dyDescent="0.2">
      <c r="A971">
        <v>-118</v>
      </c>
      <c r="B971" s="10" t="s">
        <v>60</v>
      </c>
      <c r="C971" s="11" t="s">
        <v>2013</v>
      </c>
      <c r="D971" s="7" t="s">
        <v>2008</v>
      </c>
      <c r="E971" s="13">
        <v>18</v>
      </c>
      <c r="F971" s="13">
        <v>4</v>
      </c>
      <c r="G971" s="13">
        <f t="shared" si="42"/>
        <v>90</v>
      </c>
      <c r="H971" s="13">
        <v>119</v>
      </c>
      <c r="I971" s="14">
        <f t="shared" si="43"/>
        <v>-118.7041095890411</v>
      </c>
      <c r="K971" s="10">
        <v>26.5</v>
      </c>
      <c r="L971" s="16">
        <v>26.5</v>
      </c>
      <c r="M971" s="16">
        <f>1000/L971</f>
        <v>37.735849056603776</v>
      </c>
      <c r="N971" s="16">
        <f>8.33*M971</f>
        <v>314.33962264150944</v>
      </c>
      <c r="O971" s="16">
        <f>1.613*N971</f>
        <v>507.02981132075473</v>
      </c>
    </row>
    <row r="972" spans="1:36" x14ac:dyDescent="0.2">
      <c r="A972">
        <v>-118</v>
      </c>
      <c r="B972" s="10" t="s">
        <v>60</v>
      </c>
      <c r="C972" s="11" t="s">
        <v>42</v>
      </c>
      <c r="D972" s="15" t="s">
        <v>2014</v>
      </c>
      <c r="E972" s="13">
        <v>19</v>
      </c>
      <c r="F972" s="13">
        <v>4</v>
      </c>
      <c r="G972" s="13">
        <f t="shared" si="42"/>
        <v>90</v>
      </c>
      <c r="H972" s="13">
        <v>119</v>
      </c>
      <c r="I972" s="14">
        <f t="shared" si="43"/>
        <v>-118.7013698630137</v>
      </c>
      <c r="J972" s="15" t="s">
        <v>2015</v>
      </c>
      <c r="Q972" s="20">
        <v>66</v>
      </c>
      <c r="R972" s="19">
        <v>15.15</v>
      </c>
      <c r="S972" s="19">
        <v>126.21</v>
      </c>
      <c r="T972" s="19">
        <f>S972*1.33</f>
        <v>167.85929999999999</v>
      </c>
      <c r="Y972" t="s">
        <v>41</v>
      </c>
    </row>
    <row r="973" spans="1:36" x14ac:dyDescent="0.2">
      <c r="A973">
        <v>-118</v>
      </c>
      <c r="B973" s="10" t="s">
        <v>60</v>
      </c>
      <c r="C973" s="11" t="s">
        <v>1345</v>
      </c>
      <c r="D973" s="7" t="s">
        <v>2014</v>
      </c>
      <c r="E973" s="13">
        <v>19</v>
      </c>
      <c r="F973" s="13">
        <v>4</v>
      </c>
      <c r="G973" s="13">
        <f t="shared" si="42"/>
        <v>90</v>
      </c>
      <c r="H973" s="13">
        <v>119</v>
      </c>
      <c r="I973" s="14">
        <f t="shared" si="43"/>
        <v>-118.7013698630137</v>
      </c>
      <c r="J973" s="7" t="s">
        <v>2016</v>
      </c>
      <c r="K973" s="10">
        <v>24</v>
      </c>
      <c r="L973" s="16">
        <v>24</v>
      </c>
      <c r="M973" s="16">
        <f>1000/L973</f>
        <v>41.666666666666664</v>
      </c>
      <c r="N973" s="16">
        <f>8.33*M973</f>
        <v>347.08333333333331</v>
      </c>
      <c r="O973" s="16">
        <f>1.613*N973</f>
        <v>559.84541666666667</v>
      </c>
      <c r="T973" s="8"/>
    </row>
    <row r="974" spans="1:36" x14ac:dyDescent="0.2">
      <c r="A974">
        <v>-118</v>
      </c>
      <c r="B974" s="10" t="s">
        <v>60</v>
      </c>
      <c r="C974" s="11" t="s">
        <v>2017</v>
      </c>
      <c r="D974" s="7" t="s">
        <v>2018</v>
      </c>
      <c r="E974" s="13">
        <v>21</v>
      </c>
      <c r="F974" s="13">
        <v>4</v>
      </c>
      <c r="G974" s="13">
        <f t="shared" si="42"/>
        <v>90</v>
      </c>
      <c r="H974" s="13">
        <v>119</v>
      </c>
      <c r="I974" s="14">
        <f t="shared" si="43"/>
        <v>-118.69589041095891</v>
      </c>
      <c r="K974" s="10">
        <v>27</v>
      </c>
      <c r="L974" s="16">
        <v>27</v>
      </c>
      <c r="M974" s="16">
        <f>1000/L974</f>
        <v>37.037037037037038</v>
      </c>
      <c r="N974" s="16">
        <f>8.33*M974</f>
        <v>308.51851851851853</v>
      </c>
      <c r="O974" s="16">
        <f>1.613*N974</f>
        <v>497.64037037037036</v>
      </c>
      <c r="T974" s="8"/>
    </row>
    <row r="975" spans="1:36" x14ac:dyDescent="0.2">
      <c r="A975">
        <v>-118</v>
      </c>
      <c r="B975" s="10" t="s">
        <v>60</v>
      </c>
      <c r="C975" s="11" t="s">
        <v>2019</v>
      </c>
      <c r="D975" s="7" t="s">
        <v>2020</v>
      </c>
      <c r="E975" s="13">
        <v>22</v>
      </c>
      <c r="F975" s="13">
        <v>4</v>
      </c>
      <c r="G975" s="13">
        <f t="shared" si="42"/>
        <v>90</v>
      </c>
      <c r="H975" s="13">
        <v>119</v>
      </c>
      <c r="I975" s="14">
        <f t="shared" si="43"/>
        <v>-118.69315068493151</v>
      </c>
      <c r="J975" s="7" t="s">
        <v>2021</v>
      </c>
      <c r="K975" s="10">
        <v>30</v>
      </c>
      <c r="L975" s="16">
        <v>30</v>
      </c>
      <c r="M975" s="16">
        <f>1000/L975</f>
        <v>33.333333333333336</v>
      </c>
      <c r="N975" s="16">
        <f>8.33*M975</f>
        <v>277.66666666666669</v>
      </c>
      <c r="O975" s="16">
        <f>1.613*N975</f>
        <v>447.87633333333338</v>
      </c>
      <c r="T975" s="8"/>
    </row>
    <row r="976" spans="1:36" x14ac:dyDescent="0.2">
      <c r="A976">
        <v>-118</v>
      </c>
      <c r="B976" s="10" t="s">
        <v>60</v>
      </c>
      <c r="C976" s="11">
        <v>18</v>
      </c>
      <c r="D976" s="7" t="s">
        <v>2022</v>
      </c>
      <c r="E976" s="13">
        <v>26</v>
      </c>
      <c r="F976" s="13">
        <v>4</v>
      </c>
      <c r="G976" s="13">
        <f t="shared" si="42"/>
        <v>90</v>
      </c>
      <c r="H976" s="13">
        <v>119</v>
      </c>
      <c r="I976" s="14">
        <f t="shared" si="43"/>
        <v>-118.68219178082192</v>
      </c>
      <c r="K976" s="23">
        <v>28</v>
      </c>
      <c r="L976" s="19">
        <v>28</v>
      </c>
      <c r="M976" s="19">
        <f>1000/L976</f>
        <v>35.714285714285715</v>
      </c>
      <c r="N976" s="19">
        <f>8.33*M976</f>
        <v>297.5</v>
      </c>
      <c r="O976" s="19">
        <f>1.613*N976</f>
        <v>479.86750000000001</v>
      </c>
      <c r="T976" s="8"/>
    </row>
    <row r="977" spans="1:37" x14ac:dyDescent="0.2">
      <c r="A977">
        <v>-118</v>
      </c>
      <c r="B977" s="10" t="s">
        <v>60</v>
      </c>
      <c r="C977" s="11" t="s">
        <v>2023</v>
      </c>
      <c r="D977" s="7" t="s">
        <v>2024</v>
      </c>
      <c r="E977" s="13">
        <v>27</v>
      </c>
      <c r="F977" s="13">
        <v>4</v>
      </c>
      <c r="G977" s="13">
        <f t="shared" si="42"/>
        <v>90</v>
      </c>
      <c r="H977" s="13">
        <v>119</v>
      </c>
      <c r="I977" s="14">
        <f t="shared" si="43"/>
        <v>-118.67945205479452</v>
      </c>
      <c r="K977" s="10" t="s">
        <v>41</v>
      </c>
      <c r="T977" s="8"/>
    </row>
    <row r="978" spans="1:37" x14ac:dyDescent="0.2">
      <c r="A978">
        <v>-118</v>
      </c>
      <c r="B978" s="10" t="s">
        <v>60</v>
      </c>
      <c r="C978" s="11" t="s">
        <v>45</v>
      </c>
      <c r="D978" s="15" t="s">
        <v>2025</v>
      </c>
      <c r="E978" s="13">
        <v>29</v>
      </c>
      <c r="F978" s="13">
        <v>4</v>
      </c>
      <c r="G978" s="13">
        <f t="shared" si="42"/>
        <v>90</v>
      </c>
      <c r="H978" s="13">
        <v>119</v>
      </c>
      <c r="I978" s="14">
        <f t="shared" si="43"/>
        <v>-118.67397260273972</v>
      </c>
      <c r="J978" s="15" t="s">
        <v>2007</v>
      </c>
      <c r="P978">
        <v>60</v>
      </c>
      <c r="Q978" s="17">
        <v>60</v>
      </c>
      <c r="R978" s="16">
        <f>1000/Q978</f>
        <v>16.666666666666668</v>
      </c>
      <c r="S978" s="16">
        <f>8.33*R978</f>
        <v>138.83333333333334</v>
      </c>
      <c r="T978" s="16">
        <f>S978*1.33</f>
        <v>184.64833333333337</v>
      </c>
    </row>
    <row r="979" spans="1:37" x14ac:dyDescent="0.2">
      <c r="A979">
        <v>-118</v>
      </c>
      <c r="B979" s="10" t="s">
        <v>60</v>
      </c>
      <c r="C979" s="27" t="s">
        <v>2026</v>
      </c>
      <c r="D979" s="33" t="s">
        <v>2024</v>
      </c>
      <c r="E979" s="13">
        <v>27</v>
      </c>
      <c r="F979" s="13">
        <v>4</v>
      </c>
      <c r="G979" s="13">
        <f t="shared" si="42"/>
        <v>90</v>
      </c>
      <c r="H979" s="13">
        <v>119</v>
      </c>
      <c r="I979" s="14">
        <f t="shared" si="43"/>
        <v>-118.67945205479452</v>
      </c>
      <c r="J979" s="33" t="s">
        <v>2027</v>
      </c>
      <c r="K979" s="10">
        <v>42</v>
      </c>
      <c r="L979" s="16">
        <v>42</v>
      </c>
      <c r="M979" s="16">
        <f t="shared" ref="M979:M984" si="44">1000/L979</f>
        <v>23.80952380952381</v>
      </c>
      <c r="N979" s="16">
        <f t="shared" ref="N979:N984" si="45">8.33*M979</f>
        <v>198.33333333333334</v>
      </c>
      <c r="O979" s="16">
        <f t="shared" ref="O979:O984" si="46">1.613*N979</f>
        <v>319.91166666666669</v>
      </c>
      <c r="T979" s="8"/>
      <c r="AK979" t="s">
        <v>447</v>
      </c>
    </row>
    <row r="980" spans="1:37" x14ac:dyDescent="0.2">
      <c r="A980">
        <v>-118</v>
      </c>
      <c r="B980" s="10" t="s">
        <v>60</v>
      </c>
      <c r="C980" s="11" t="s">
        <v>2028</v>
      </c>
      <c r="D980" s="7" t="s">
        <v>2029</v>
      </c>
      <c r="E980" s="13">
        <v>3</v>
      </c>
      <c r="F980" s="13">
        <v>5</v>
      </c>
      <c r="G980" s="13">
        <f t="shared" si="42"/>
        <v>120</v>
      </c>
      <c r="H980" s="13">
        <v>119</v>
      </c>
      <c r="I980" s="14">
        <f t="shared" si="43"/>
        <v>-118.66301369863014</v>
      </c>
      <c r="J980" s="7"/>
      <c r="K980" s="10">
        <v>44</v>
      </c>
      <c r="L980" s="16">
        <v>44</v>
      </c>
      <c r="M980" s="16">
        <f t="shared" si="44"/>
        <v>22.727272727272727</v>
      </c>
      <c r="N980" s="16">
        <f t="shared" si="45"/>
        <v>189.31818181818181</v>
      </c>
      <c r="O980" s="16">
        <f t="shared" si="46"/>
        <v>305.37022727272728</v>
      </c>
      <c r="T980" s="8"/>
    </row>
    <row r="981" spans="1:37" x14ac:dyDescent="0.2">
      <c r="A981">
        <v>-118</v>
      </c>
      <c r="B981" s="10" t="s">
        <v>60</v>
      </c>
      <c r="C981" s="11" t="s">
        <v>1949</v>
      </c>
      <c r="D981" s="7" t="s">
        <v>2030</v>
      </c>
      <c r="E981" s="13">
        <v>4</v>
      </c>
      <c r="F981" s="13">
        <v>5</v>
      </c>
      <c r="G981" s="13">
        <f t="shared" si="42"/>
        <v>120</v>
      </c>
      <c r="H981" s="13">
        <v>119</v>
      </c>
      <c r="I981" s="14">
        <f t="shared" si="43"/>
        <v>-118.66027397260274</v>
      </c>
      <c r="J981" s="7" t="s">
        <v>2031</v>
      </c>
      <c r="K981" s="10">
        <v>39</v>
      </c>
      <c r="L981" s="16">
        <v>39</v>
      </c>
      <c r="M981" s="16">
        <f t="shared" si="44"/>
        <v>25.641025641025642</v>
      </c>
      <c r="N981" s="16">
        <f t="shared" si="45"/>
        <v>213.58974358974359</v>
      </c>
      <c r="O981" s="16">
        <f t="shared" si="46"/>
        <v>344.52025641025642</v>
      </c>
      <c r="T981" s="8"/>
    </row>
    <row r="982" spans="1:37" x14ac:dyDescent="0.2">
      <c r="A982">
        <v>-118</v>
      </c>
      <c r="B982" s="10" t="s">
        <v>60</v>
      </c>
      <c r="C982" s="11">
        <v>28</v>
      </c>
      <c r="D982" s="7" t="s">
        <v>2032</v>
      </c>
      <c r="E982" s="13">
        <v>6</v>
      </c>
      <c r="F982" s="13">
        <v>5</v>
      </c>
      <c r="G982" s="13">
        <f t="shared" si="42"/>
        <v>120</v>
      </c>
      <c r="H982" s="13">
        <v>119</v>
      </c>
      <c r="I982" s="14">
        <f t="shared" si="43"/>
        <v>-118.65479452054795</v>
      </c>
      <c r="K982" s="10">
        <v>45</v>
      </c>
      <c r="L982" s="16">
        <v>45</v>
      </c>
      <c r="M982" s="16">
        <f t="shared" si="44"/>
        <v>22.222222222222221</v>
      </c>
      <c r="N982" s="16">
        <f t="shared" si="45"/>
        <v>185.11111111111111</v>
      </c>
      <c r="O982" s="16">
        <f t="shared" si="46"/>
        <v>298.58422222222225</v>
      </c>
      <c r="T982" s="8"/>
    </row>
    <row r="983" spans="1:37" x14ac:dyDescent="0.2">
      <c r="A983">
        <v>-118</v>
      </c>
      <c r="B983" s="10" t="s">
        <v>60</v>
      </c>
      <c r="C983" s="11">
        <v>29</v>
      </c>
      <c r="D983" s="7" t="s">
        <v>2033</v>
      </c>
      <c r="E983" s="13">
        <v>7</v>
      </c>
      <c r="F983" s="13">
        <v>5</v>
      </c>
      <c r="G983" s="13">
        <f t="shared" si="42"/>
        <v>120</v>
      </c>
      <c r="H983" s="13">
        <v>119</v>
      </c>
      <c r="I983" s="14">
        <f t="shared" si="43"/>
        <v>-118.65205479452055</v>
      </c>
      <c r="K983" s="10">
        <v>48</v>
      </c>
      <c r="L983" s="16">
        <v>48</v>
      </c>
      <c r="M983" s="16">
        <f t="shared" si="44"/>
        <v>20.833333333333332</v>
      </c>
      <c r="N983" s="16">
        <f t="shared" si="45"/>
        <v>173.54166666666666</v>
      </c>
      <c r="O983" s="16">
        <f t="shared" si="46"/>
        <v>279.92270833333333</v>
      </c>
      <c r="T983" s="8"/>
    </row>
    <row r="984" spans="1:37" x14ac:dyDescent="0.2">
      <c r="A984">
        <v>-118</v>
      </c>
      <c r="B984" s="10" t="s">
        <v>60</v>
      </c>
      <c r="C984" s="11">
        <v>30</v>
      </c>
      <c r="D984" s="7" t="s">
        <v>2007</v>
      </c>
      <c r="E984" s="13">
        <v>8</v>
      </c>
      <c r="F984" s="13">
        <v>5</v>
      </c>
      <c r="G984" s="13">
        <f t="shared" si="42"/>
        <v>120</v>
      </c>
      <c r="H984" s="13">
        <v>119</v>
      </c>
      <c r="I984" s="14">
        <f t="shared" si="43"/>
        <v>-118.64931506849315</v>
      </c>
      <c r="K984" s="10" t="s">
        <v>2034</v>
      </c>
      <c r="L984" s="19">
        <v>54</v>
      </c>
      <c r="M984" s="19">
        <f t="shared" si="44"/>
        <v>18.518518518518519</v>
      </c>
      <c r="N984" s="19">
        <f t="shared" si="45"/>
        <v>154.25925925925927</v>
      </c>
      <c r="O984" s="19">
        <f t="shared" si="46"/>
        <v>248.82018518518518</v>
      </c>
      <c r="T984" s="8"/>
    </row>
    <row r="985" spans="1:37" x14ac:dyDescent="0.2">
      <c r="A985">
        <v>-118</v>
      </c>
      <c r="B985" s="10" t="s">
        <v>91</v>
      </c>
      <c r="D985" s="15" t="s">
        <v>2035</v>
      </c>
      <c r="E985" s="13">
        <v>4</v>
      </c>
      <c r="F985" s="13">
        <v>10</v>
      </c>
      <c r="G985" s="13">
        <f t="shared" si="42"/>
        <v>273</v>
      </c>
      <c r="H985" s="13">
        <v>119</v>
      </c>
      <c r="I985" s="14">
        <f t="shared" si="43"/>
        <v>-118.24109589041096</v>
      </c>
      <c r="J985" s="15" t="s">
        <v>2036</v>
      </c>
      <c r="L985" s="19"/>
      <c r="T985" s="8"/>
      <c r="Y985" s="18" t="s">
        <v>2037</v>
      </c>
      <c r="Z985" s="9"/>
      <c r="AG985" s="1">
        <v>1.5</v>
      </c>
      <c r="AH985" s="9">
        <v>1.5</v>
      </c>
      <c r="AI985" s="8">
        <f>1/AH985</f>
        <v>0.66666666666666663</v>
      </c>
      <c r="AJ985" s="8">
        <f>8.33*AI985</f>
        <v>5.5533333333333328</v>
      </c>
    </row>
    <row r="986" spans="1:37" x14ac:dyDescent="0.2">
      <c r="A986">
        <v>-118</v>
      </c>
      <c r="B986" s="10" t="s">
        <v>91</v>
      </c>
      <c r="C986" s="11" t="s">
        <v>39</v>
      </c>
      <c r="D986" s="15" t="s">
        <v>2035</v>
      </c>
      <c r="E986" s="13">
        <v>4</v>
      </c>
      <c r="F986" s="13">
        <v>10</v>
      </c>
      <c r="G986" s="13">
        <f t="shared" si="42"/>
        <v>273</v>
      </c>
      <c r="H986" s="13">
        <v>119</v>
      </c>
      <c r="I986" s="14">
        <f t="shared" si="43"/>
        <v>-118.24109589041096</v>
      </c>
      <c r="J986" s="15" t="s">
        <v>2038</v>
      </c>
      <c r="K986" s="10">
        <v>56.5</v>
      </c>
      <c r="L986" s="16">
        <v>56.5</v>
      </c>
      <c r="M986" s="16">
        <f>1000/L986</f>
        <v>17.699115044247787</v>
      </c>
      <c r="N986" s="16">
        <f>8.33*M986</f>
        <v>147.43362831858406</v>
      </c>
      <c r="O986" s="16">
        <f>1.613*N986</f>
        <v>237.81044247787608</v>
      </c>
      <c r="P986">
        <v>61</v>
      </c>
      <c r="Q986" s="17">
        <v>61</v>
      </c>
      <c r="R986" s="16">
        <f>1000/Q986</f>
        <v>16.393442622950818</v>
      </c>
      <c r="S986" s="16">
        <f>8.33*R986</f>
        <v>136.55737704918033</v>
      </c>
      <c r="T986" s="16">
        <f>S986*1.33</f>
        <v>181.62131147540984</v>
      </c>
      <c r="Y986">
        <v>24</v>
      </c>
      <c r="Z986" s="17">
        <v>24</v>
      </c>
      <c r="AA986" s="16">
        <f>1000/Z986</f>
        <v>41.666666666666664</v>
      </c>
      <c r="AB986" s="16">
        <f>8.33*AA986</f>
        <v>347.08333333333331</v>
      </c>
      <c r="AK986" t="s">
        <v>1397</v>
      </c>
    </row>
    <row r="987" spans="1:37" x14ac:dyDescent="0.2">
      <c r="A987">
        <v>-118</v>
      </c>
      <c r="B987" s="10" t="s">
        <v>91</v>
      </c>
      <c r="C987" s="11" t="s">
        <v>1606</v>
      </c>
      <c r="D987" s="7" t="s">
        <v>2035</v>
      </c>
      <c r="E987" s="13">
        <v>4</v>
      </c>
      <c r="F987" s="13">
        <v>10</v>
      </c>
      <c r="G987" s="13">
        <f t="shared" si="42"/>
        <v>273</v>
      </c>
      <c r="H987" s="13">
        <v>119</v>
      </c>
      <c r="I987" s="14">
        <f t="shared" si="43"/>
        <v>-118.24109589041096</v>
      </c>
      <c r="J987" s="7" t="s">
        <v>2039</v>
      </c>
      <c r="T987" s="8"/>
      <c r="AC987">
        <v>7.5</v>
      </c>
      <c r="AD987" s="17">
        <v>7.5</v>
      </c>
      <c r="AE987" s="16">
        <f>1000/AD987</f>
        <v>133.33333333333334</v>
      </c>
      <c r="AF987" s="16">
        <f>8.33*AE987</f>
        <v>1110.6666666666667</v>
      </c>
    </row>
    <row r="988" spans="1:37" x14ac:dyDescent="0.2">
      <c r="A988">
        <v>-118</v>
      </c>
      <c r="B988" s="10" t="s">
        <v>91</v>
      </c>
      <c r="C988" s="11" t="s">
        <v>2040</v>
      </c>
      <c r="D988" s="7" t="s">
        <v>2035</v>
      </c>
      <c r="E988" s="13">
        <v>4</v>
      </c>
      <c r="F988" s="13">
        <v>10</v>
      </c>
      <c r="G988" s="13">
        <f t="shared" si="42"/>
        <v>273</v>
      </c>
      <c r="H988" s="13">
        <v>119</v>
      </c>
      <c r="I988" s="14">
        <f t="shared" si="43"/>
        <v>-118.24109589041096</v>
      </c>
      <c r="J988" s="7" t="s">
        <v>2041</v>
      </c>
      <c r="T988" s="8"/>
      <c r="U988">
        <v>288</v>
      </c>
      <c r="V988" s="17">
        <v>288</v>
      </c>
      <c r="W988" s="16">
        <f>1000/V988</f>
        <v>3.4722222222222223</v>
      </c>
      <c r="X988" s="16">
        <f>8.33*W988</f>
        <v>28.923611111111111</v>
      </c>
      <c r="Y988" t="s">
        <v>2037</v>
      </c>
      <c r="Z988" s="20">
        <v>20</v>
      </c>
      <c r="AA988" s="19">
        <f>1000/Z988</f>
        <v>50</v>
      </c>
      <c r="AB988" s="19">
        <f>8.33*AA988</f>
        <v>416.5</v>
      </c>
    </row>
    <row r="989" spans="1:37" x14ac:dyDescent="0.2">
      <c r="A989">
        <v>-118</v>
      </c>
      <c r="B989" s="10" t="s">
        <v>91</v>
      </c>
      <c r="C989" s="11" t="s">
        <v>1608</v>
      </c>
      <c r="D989" s="7" t="s">
        <v>2042</v>
      </c>
      <c r="E989" s="13">
        <v>9</v>
      </c>
      <c r="F989" s="13">
        <v>10</v>
      </c>
      <c r="G989" s="13">
        <f t="shared" si="42"/>
        <v>273</v>
      </c>
      <c r="H989" s="13">
        <v>119</v>
      </c>
      <c r="I989" s="14">
        <f t="shared" si="43"/>
        <v>-118.22739726027397</v>
      </c>
      <c r="J989" s="7" t="s">
        <v>2043</v>
      </c>
      <c r="T989" s="8"/>
      <c r="AC989">
        <v>6.875</v>
      </c>
      <c r="AD989" s="17">
        <v>6.875</v>
      </c>
      <c r="AE989" s="16">
        <f>1000/AD989</f>
        <v>145.45454545454547</v>
      </c>
      <c r="AF989" s="16">
        <f>8.33*AE989</f>
        <v>1211.6363636363637</v>
      </c>
    </row>
    <row r="990" spans="1:37" x14ac:dyDescent="0.2">
      <c r="A990">
        <v>-118</v>
      </c>
      <c r="B990" s="10" t="s">
        <v>91</v>
      </c>
      <c r="C990" s="11" t="s">
        <v>42</v>
      </c>
      <c r="D990" s="15" t="s">
        <v>2044</v>
      </c>
      <c r="E990" s="13">
        <v>14</v>
      </c>
      <c r="F990" s="13">
        <v>10</v>
      </c>
      <c r="G990" s="13">
        <f t="shared" si="42"/>
        <v>273</v>
      </c>
      <c r="H990" s="13">
        <v>119</v>
      </c>
      <c r="I990" s="14">
        <f t="shared" si="43"/>
        <v>-118.21369863013699</v>
      </c>
      <c r="J990" s="15" t="s">
        <v>2041</v>
      </c>
      <c r="K990" s="10">
        <v>60</v>
      </c>
      <c r="L990" s="16">
        <v>60</v>
      </c>
      <c r="M990" s="16">
        <f>1000/L990</f>
        <v>16.666666666666668</v>
      </c>
      <c r="N990" s="16">
        <f>8.33*M990</f>
        <v>138.83333333333334</v>
      </c>
      <c r="O990" s="16">
        <f>1.613*N990</f>
        <v>223.93816666666669</v>
      </c>
      <c r="T990" s="8"/>
      <c r="Y990" t="s">
        <v>41</v>
      </c>
    </row>
    <row r="991" spans="1:37" x14ac:dyDescent="0.2">
      <c r="A991">
        <v>-118</v>
      </c>
      <c r="B991" s="10" t="s">
        <v>91</v>
      </c>
      <c r="C991" s="11" t="s">
        <v>2045</v>
      </c>
      <c r="D991" s="7" t="s">
        <v>2038</v>
      </c>
      <c r="E991" s="13">
        <v>13</v>
      </c>
      <c r="F991" s="13">
        <v>10</v>
      </c>
      <c r="G991" s="13">
        <f t="shared" si="42"/>
        <v>273</v>
      </c>
      <c r="H991" s="13">
        <v>119</v>
      </c>
      <c r="I991" s="14">
        <f t="shared" si="43"/>
        <v>-118.21643835616439</v>
      </c>
      <c r="J991" s="7" t="s">
        <v>2046</v>
      </c>
      <c r="T991" s="8"/>
      <c r="AC991">
        <v>6.5</v>
      </c>
      <c r="AD991" s="17">
        <v>6.5</v>
      </c>
      <c r="AE991" s="16">
        <f>1000/AD991</f>
        <v>153.84615384615384</v>
      </c>
      <c r="AF991" s="16">
        <f>8.33*AE991</f>
        <v>1281.5384615384614</v>
      </c>
    </row>
    <row r="992" spans="1:37" x14ac:dyDescent="0.2">
      <c r="A992">
        <v>-118</v>
      </c>
      <c r="B992" s="10" t="s">
        <v>91</v>
      </c>
      <c r="C992" s="11" t="s">
        <v>2047</v>
      </c>
      <c r="D992" s="7" t="s">
        <v>2048</v>
      </c>
      <c r="E992" s="13">
        <v>17</v>
      </c>
      <c r="F992" s="13">
        <v>10</v>
      </c>
      <c r="G992" s="13">
        <f t="shared" si="42"/>
        <v>273</v>
      </c>
      <c r="H992" s="13">
        <v>119</v>
      </c>
      <c r="I992" s="14">
        <f t="shared" si="43"/>
        <v>-118.20547945205479</v>
      </c>
      <c r="J992" s="7" t="s">
        <v>2049</v>
      </c>
      <c r="T992" s="8"/>
      <c r="AC992">
        <v>7.5</v>
      </c>
      <c r="AD992" s="17">
        <v>7.5</v>
      </c>
      <c r="AE992" s="16">
        <f>1000/AD992</f>
        <v>133.33333333333334</v>
      </c>
      <c r="AF992" s="16">
        <f>8.33*AE992</f>
        <v>1110.6666666666667</v>
      </c>
    </row>
    <row r="993" spans="1:37" x14ac:dyDescent="0.2">
      <c r="A993">
        <v>-118</v>
      </c>
      <c r="B993" s="10" t="s">
        <v>91</v>
      </c>
      <c r="C993" s="11" t="s">
        <v>2050</v>
      </c>
      <c r="D993" s="7" t="s">
        <v>2041</v>
      </c>
      <c r="E993" s="13">
        <v>23</v>
      </c>
      <c r="F993" s="13">
        <v>10</v>
      </c>
      <c r="G993" s="13">
        <f t="shared" si="42"/>
        <v>273</v>
      </c>
      <c r="H993" s="13">
        <v>119</v>
      </c>
      <c r="I993" s="14">
        <f t="shared" si="43"/>
        <v>-118.18904109589042</v>
      </c>
      <c r="J993" s="7"/>
      <c r="T993" s="8"/>
      <c r="AC993">
        <v>9</v>
      </c>
      <c r="AD993" s="17">
        <v>9</v>
      </c>
      <c r="AE993" s="16">
        <f>1000/AD993</f>
        <v>111.11111111111111</v>
      </c>
      <c r="AF993" s="16">
        <f>8.33*AE993</f>
        <v>925.55555555555554</v>
      </c>
    </row>
    <row r="994" spans="1:37" x14ac:dyDescent="0.2">
      <c r="A994">
        <v>-118</v>
      </c>
      <c r="B994" s="10" t="s">
        <v>91</v>
      </c>
      <c r="C994" s="11" t="s">
        <v>45</v>
      </c>
      <c r="D994" s="15" t="s">
        <v>2051</v>
      </c>
      <c r="E994" s="13">
        <v>24</v>
      </c>
      <c r="F994" s="13">
        <v>10</v>
      </c>
      <c r="G994" s="13">
        <f t="shared" si="42"/>
        <v>273</v>
      </c>
      <c r="H994" s="13">
        <v>119</v>
      </c>
      <c r="I994" s="14">
        <f t="shared" si="43"/>
        <v>-118.18630136986302</v>
      </c>
      <c r="J994" s="15" t="s">
        <v>2036</v>
      </c>
      <c r="K994" s="10" t="s">
        <v>2052</v>
      </c>
      <c r="L994" s="19">
        <v>62</v>
      </c>
      <c r="M994" s="19">
        <f>1000/L994</f>
        <v>16.129032258064516</v>
      </c>
      <c r="N994" s="19">
        <f>8.33*M994</f>
        <v>134.35483870967741</v>
      </c>
      <c r="O994" s="19">
        <f>1.613*N994</f>
        <v>216.71435483870965</v>
      </c>
      <c r="P994">
        <v>60</v>
      </c>
      <c r="Q994" s="17">
        <v>60</v>
      </c>
      <c r="R994" s="16">
        <f>1000/Q994</f>
        <v>16.666666666666668</v>
      </c>
      <c r="S994" s="16">
        <f>8.33*R994</f>
        <v>138.83333333333334</v>
      </c>
      <c r="T994" s="16">
        <f>S994*1.33</f>
        <v>184.64833333333337</v>
      </c>
      <c r="U994">
        <v>216</v>
      </c>
      <c r="V994" s="17">
        <v>216</v>
      </c>
      <c r="W994" s="16">
        <f>1000/V994</f>
        <v>4.6296296296296298</v>
      </c>
      <c r="X994" s="16">
        <f>8.33*W994</f>
        <v>38.564814814814817</v>
      </c>
    </row>
    <row r="995" spans="1:37" x14ac:dyDescent="0.2">
      <c r="A995">
        <v>-118</v>
      </c>
      <c r="B995" s="10" t="s">
        <v>91</v>
      </c>
      <c r="C995" s="11" t="s">
        <v>1456</v>
      </c>
      <c r="D995" s="25" t="s">
        <v>2053</v>
      </c>
      <c r="E995" s="13">
        <v>25</v>
      </c>
      <c r="F995" s="13">
        <v>10</v>
      </c>
      <c r="G995" s="13">
        <f t="shared" si="42"/>
        <v>273</v>
      </c>
      <c r="H995" s="13">
        <v>119</v>
      </c>
      <c r="I995" s="14">
        <f t="shared" si="43"/>
        <v>-118.18356164383562</v>
      </c>
      <c r="J995" s="15" t="s">
        <v>2036</v>
      </c>
      <c r="L995" s="19"/>
      <c r="P995">
        <v>87</v>
      </c>
      <c r="Q995" s="17">
        <v>87</v>
      </c>
      <c r="R995" s="16">
        <f>1000/Q995</f>
        <v>11.494252873563218</v>
      </c>
      <c r="S995" s="16">
        <f>8.33*R995</f>
        <v>95.747126436781599</v>
      </c>
      <c r="T995" s="16">
        <f>S995*1.33</f>
        <v>127.34367816091954</v>
      </c>
      <c r="AK995" t="s">
        <v>319</v>
      </c>
    </row>
    <row r="996" spans="1:37" x14ac:dyDescent="0.2">
      <c r="A996">
        <v>-117</v>
      </c>
      <c r="B996" s="10" t="s">
        <v>94</v>
      </c>
      <c r="C996" s="11" t="s">
        <v>39</v>
      </c>
      <c r="D996" s="15" t="s">
        <v>2054</v>
      </c>
      <c r="E996" s="13">
        <v>23</v>
      </c>
      <c r="F996" s="13">
        <v>10</v>
      </c>
      <c r="G996" s="13">
        <f t="shared" si="42"/>
        <v>273</v>
      </c>
      <c r="H996" s="13">
        <v>118</v>
      </c>
      <c r="I996" s="14">
        <f t="shared" si="43"/>
        <v>-117.18904109589042</v>
      </c>
      <c r="J996" s="15" t="s">
        <v>2055</v>
      </c>
    </row>
    <row r="997" spans="1:37" x14ac:dyDescent="0.2">
      <c r="A997">
        <v>-117</v>
      </c>
      <c r="B997" s="10" t="s">
        <v>94</v>
      </c>
      <c r="C997" s="11" t="s">
        <v>42</v>
      </c>
      <c r="D997" s="15" t="s">
        <v>2056</v>
      </c>
      <c r="E997" s="13">
        <v>2</v>
      </c>
      <c r="F997" s="13">
        <v>11</v>
      </c>
      <c r="G997" s="13">
        <f t="shared" si="42"/>
        <v>304</v>
      </c>
      <c r="H997" s="13">
        <v>118</v>
      </c>
      <c r="I997" s="14">
        <f t="shared" si="43"/>
        <v>-117.16164383561645</v>
      </c>
      <c r="J997" s="15" t="s">
        <v>2057</v>
      </c>
    </row>
    <row r="998" spans="1:37" x14ac:dyDescent="0.2">
      <c r="A998">
        <v>-117</v>
      </c>
      <c r="B998" s="10" t="s">
        <v>94</v>
      </c>
      <c r="C998" s="11" t="s">
        <v>2058</v>
      </c>
      <c r="D998" s="7" t="s">
        <v>2059</v>
      </c>
      <c r="E998" s="13">
        <v>9</v>
      </c>
      <c r="F998" s="13">
        <v>11</v>
      </c>
      <c r="G998" s="13">
        <f t="shared" si="42"/>
        <v>304</v>
      </c>
      <c r="H998" s="13">
        <v>118</v>
      </c>
      <c r="I998" s="14">
        <f t="shared" si="43"/>
        <v>-117.14246575342466</v>
      </c>
      <c r="J998" s="7" t="s">
        <v>2060</v>
      </c>
      <c r="P998">
        <v>171</v>
      </c>
      <c r="Q998" s="17">
        <v>171</v>
      </c>
      <c r="R998" s="16">
        <f>1000/Q998</f>
        <v>5.8479532163742691</v>
      </c>
      <c r="S998" s="16">
        <f>8.33*R998</f>
        <v>48.71345029239766</v>
      </c>
      <c r="T998" s="16">
        <f>S998*1.33</f>
        <v>64.788888888888891</v>
      </c>
    </row>
    <row r="999" spans="1:37" x14ac:dyDescent="0.2">
      <c r="A999">
        <v>-117</v>
      </c>
      <c r="B999" s="10" t="s">
        <v>94</v>
      </c>
      <c r="C999" s="11" t="s">
        <v>45</v>
      </c>
      <c r="D999" s="15" t="s">
        <v>2061</v>
      </c>
      <c r="E999" s="13">
        <v>12</v>
      </c>
      <c r="F999" s="13">
        <v>11</v>
      </c>
      <c r="G999" s="13">
        <f t="shared" si="42"/>
        <v>304</v>
      </c>
      <c r="H999" s="13">
        <v>118</v>
      </c>
      <c r="I999" s="14">
        <f t="shared" si="43"/>
        <v>-117.13424657534246</v>
      </c>
      <c r="J999" s="15" t="s">
        <v>2062</v>
      </c>
      <c r="T999" s="8"/>
    </row>
    <row r="1000" spans="1:37" x14ac:dyDescent="0.2">
      <c r="A1000">
        <v>-117</v>
      </c>
      <c r="B1000" s="10" t="s">
        <v>94</v>
      </c>
      <c r="C1000" s="11" t="s">
        <v>2063</v>
      </c>
      <c r="D1000" s="7" t="s">
        <v>2064</v>
      </c>
      <c r="E1000" s="13">
        <v>16</v>
      </c>
      <c r="F1000" s="13">
        <v>11</v>
      </c>
      <c r="G1000" s="13">
        <f t="shared" si="42"/>
        <v>304</v>
      </c>
      <c r="H1000" s="13">
        <v>118</v>
      </c>
      <c r="I1000" s="14">
        <f t="shared" si="43"/>
        <v>-117.12328767123287</v>
      </c>
      <c r="J1000" s="7" t="s">
        <v>2062</v>
      </c>
      <c r="P1000" t="s">
        <v>2065</v>
      </c>
      <c r="T1000" s="8"/>
    </row>
    <row r="1001" spans="1:37" x14ac:dyDescent="0.2">
      <c r="A1001">
        <v>-117</v>
      </c>
      <c r="B1001" s="10" t="s">
        <v>1570</v>
      </c>
      <c r="C1001" s="11" t="s">
        <v>2066</v>
      </c>
      <c r="D1001" s="15" t="s">
        <v>2067</v>
      </c>
      <c r="E1001" s="13">
        <v>20</v>
      </c>
      <c r="F1001" s="13">
        <v>1</v>
      </c>
      <c r="G1001" s="13">
        <f t="shared" si="42"/>
        <v>0</v>
      </c>
      <c r="H1001" s="13">
        <v>117</v>
      </c>
      <c r="I1001" s="14">
        <f t="shared" si="43"/>
        <v>-116.94520547945206</v>
      </c>
      <c r="J1001" s="15" t="s">
        <v>2068</v>
      </c>
      <c r="P1001">
        <v>171</v>
      </c>
      <c r="Q1001" s="17">
        <v>171</v>
      </c>
      <c r="R1001" s="16">
        <f>1000/Q1001</f>
        <v>5.8479532163742691</v>
      </c>
      <c r="S1001" s="16">
        <f>8.33*R1001</f>
        <v>48.71345029239766</v>
      </c>
      <c r="T1001" s="16">
        <f>S1001*1.33</f>
        <v>64.788888888888891</v>
      </c>
    </row>
    <row r="1002" spans="1:37" x14ac:dyDescent="0.2">
      <c r="A1002">
        <v>-117</v>
      </c>
      <c r="B1002" s="10" t="s">
        <v>127</v>
      </c>
      <c r="D1002" s="15" t="s">
        <v>2069</v>
      </c>
      <c r="E1002" s="13">
        <v>18</v>
      </c>
      <c r="F1002" s="13">
        <v>2</v>
      </c>
      <c r="G1002" s="13">
        <f t="shared" si="42"/>
        <v>31</v>
      </c>
      <c r="H1002" s="13">
        <v>117</v>
      </c>
      <c r="I1002" s="14">
        <f t="shared" si="43"/>
        <v>-116.86575342465754</v>
      </c>
      <c r="J1002" s="15" t="s">
        <v>2070</v>
      </c>
      <c r="U1002" s="1">
        <v>450</v>
      </c>
      <c r="V1002" s="9">
        <v>450</v>
      </c>
      <c r="W1002" s="8">
        <f>1000/V1002</f>
        <v>2.2222222222222223</v>
      </c>
      <c r="X1002" s="8">
        <f>8.33*W1002</f>
        <v>18.511111111111113</v>
      </c>
      <c r="Y1002" s="1">
        <v>23.5</v>
      </c>
      <c r="Z1002" s="9">
        <v>23.5</v>
      </c>
      <c r="AA1002" s="8">
        <f>1000/Z1002</f>
        <v>42.553191489361701</v>
      </c>
      <c r="AB1002" s="8">
        <f>8.33*AA1002</f>
        <v>354.468085106383</v>
      </c>
      <c r="AC1002" s="1">
        <v>17</v>
      </c>
      <c r="AD1002" s="9">
        <v>17</v>
      </c>
      <c r="AE1002" s="8">
        <f>1000/AD1002</f>
        <v>58.823529411764703</v>
      </c>
      <c r="AF1002" s="8">
        <f>8.33*AE1002</f>
        <v>490</v>
      </c>
    </row>
    <row r="1003" spans="1:37" x14ac:dyDescent="0.2">
      <c r="A1003">
        <v>-117</v>
      </c>
      <c r="B1003" s="10" t="s">
        <v>127</v>
      </c>
      <c r="C1003" s="11" t="s">
        <v>39</v>
      </c>
      <c r="D1003" s="15" t="s">
        <v>2069</v>
      </c>
      <c r="E1003" s="13">
        <v>18</v>
      </c>
      <c r="F1003" s="13">
        <v>2</v>
      </c>
      <c r="G1003" s="13">
        <f t="shared" si="42"/>
        <v>31</v>
      </c>
      <c r="H1003" s="13">
        <v>117</v>
      </c>
      <c r="I1003" s="14">
        <f t="shared" si="43"/>
        <v>-116.86575342465754</v>
      </c>
      <c r="J1003" s="15" t="s">
        <v>2071</v>
      </c>
    </row>
    <row r="1004" spans="1:37" x14ac:dyDescent="0.2">
      <c r="A1004">
        <v>-117</v>
      </c>
      <c r="B1004" s="10" t="s">
        <v>127</v>
      </c>
      <c r="C1004" s="11" t="s">
        <v>2072</v>
      </c>
      <c r="D1004" s="7" t="s">
        <v>2069</v>
      </c>
      <c r="E1004" s="13">
        <v>18</v>
      </c>
      <c r="F1004" s="13">
        <v>2</v>
      </c>
      <c r="G1004" s="13">
        <f t="shared" si="42"/>
        <v>31</v>
      </c>
      <c r="H1004" s="13">
        <v>117</v>
      </c>
      <c r="I1004" s="14">
        <f t="shared" si="43"/>
        <v>-116.86575342465754</v>
      </c>
      <c r="J1004" s="7" t="s">
        <v>2073</v>
      </c>
      <c r="P1004">
        <v>162</v>
      </c>
      <c r="Q1004" s="17">
        <v>162</v>
      </c>
      <c r="R1004" s="16">
        <f>1000/Q1004</f>
        <v>6.1728395061728394</v>
      </c>
      <c r="S1004" s="16">
        <f>8.33*R1004</f>
        <v>51.419753086419753</v>
      </c>
      <c r="T1004" s="16">
        <f>S1004*1.33</f>
        <v>68.388271604938282</v>
      </c>
    </row>
    <row r="1005" spans="1:37" x14ac:dyDescent="0.2">
      <c r="A1005">
        <v>-117</v>
      </c>
      <c r="B1005" s="10" t="s">
        <v>127</v>
      </c>
      <c r="C1005" s="11" t="s">
        <v>2074</v>
      </c>
      <c r="D1005" s="7" t="s">
        <v>2075</v>
      </c>
      <c r="E1005" s="13">
        <v>24</v>
      </c>
      <c r="F1005" s="13">
        <v>2</v>
      </c>
      <c r="G1005" s="13">
        <f t="shared" si="42"/>
        <v>31</v>
      </c>
      <c r="H1005" s="13">
        <v>117</v>
      </c>
      <c r="I1005" s="14">
        <f t="shared" si="43"/>
        <v>-116.84931506849315</v>
      </c>
      <c r="J1005" s="7" t="s">
        <v>2070</v>
      </c>
      <c r="P1005">
        <v>171</v>
      </c>
      <c r="Q1005" s="17">
        <v>171</v>
      </c>
      <c r="R1005" s="16">
        <f>1000/Q1005</f>
        <v>5.8479532163742691</v>
      </c>
      <c r="S1005" s="16">
        <f>8.33*R1005</f>
        <v>48.71345029239766</v>
      </c>
      <c r="T1005" s="16">
        <f>S1005*1.33</f>
        <v>64.788888888888891</v>
      </c>
    </row>
    <row r="1006" spans="1:37" x14ac:dyDescent="0.2">
      <c r="A1006">
        <v>-117</v>
      </c>
      <c r="B1006" s="10" t="s">
        <v>127</v>
      </c>
      <c r="C1006" s="11" t="s">
        <v>42</v>
      </c>
      <c r="D1006" s="26" t="s">
        <v>2076</v>
      </c>
      <c r="E1006" s="13">
        <v>28</v>
      </c>
      <c r="F1006" s="13">
        <v>2</v>
      </c>
      <c r="G1006" s="13">
        <f t="shared" si="42"/>
        <v>31</v>
      </c>
      <c r="H1006" s="13">
        <v>117</v>
      </c>
      <c r="I1006" s="14">
        <f t="shared" si="43"/>
        <v>-116.83835616438355</v>
      </c>
      <c r="J1006" s="26" t="s">
        <v>2077</v>
      </c>
      <c r="T1006" s="8"/>
    </row>
    <row r="1007" spans="1:37" x14ac:dyDescent="0.2">
      <c r="A1007">
        <v>-117</v>
      </c>
      <c r="B1007" s="10" t="s">
        <v>127</v>
      </c>
      <c r="C1007" s="11" t="s">
        <v>45</v>
      </c>
      <c r="D1007" s="26" t="s">
        <v>2078</v>
      </c>
      <c r="E1007" s="13">
        <v>9</v>
      </c>
      <c r="F1007" s="13">
        <v>3</v>
      </c>
      <c r="G1007" s="13">
        <f t="shared" si="42"/>
        <v>59</v>
      </c>
      <c r="H1007" s="13">
        <v>117</v>
      </c>
      <c r="I1007" s="14">
        <f t="shared" si="43"/>
        <v>-116.81369863013698</v>
      </c>
      <c r="J1007" s="26" t="s">
        <v>2070</v>
      </c>
      <c r="T1007" s="8"/>
    </row>
    <row r="1008" spans="1:37" x14ac:dyDescent="0.2">
      <c r="A1008">
        <v>-112</v>
      </c>
      <c r="B1008" s="10" t="s">
        <v>91</v>
      </c>
      <c r="C1008" s="11" t="s">
        <v>39</v>
      </c>
      <c r="D1008" s="15" t="s">
        <v>2079</v>
      </c>
      <c r="E1008" s="13">
        <v>28</v>
      </c>
      <c r="F1008" s="13">
        <v>9</v>
      </c>
      <c r="G1008" s="13">
        <f t="shared" si="42"/>
        <v>243</v>
      </c>
      <c r="H1008" s="13">
        <v>113</v>
      </c>
      <c r="I1008" s="14">
        <f t="shared" si="43"/>
        <v>-112.25753424657535</v>
      </c>
      <c r="J1008" s="15" t="s">
        <v>2080</v>
      </c>
      <c r="T1008" s="8"/>
      <c r="AC1008" t="s">
        <v>2081</v>
      </c>
    </row>
    <row r="1009" spans="1:37" x14ac:dyDescent="0.2">
      <c r="A1009">
        <v>-112</v>
      </c>
      <c r="B1009" s="10" t="s">
        <v>91</v>
      </c>
      <c r="C1009" s="11" t="s">
        <v>42</v>
      </c>
      <c r="D1009" s="15" t="s">
        <v>2082</v>
      </c>
      <c r="E1009" s="13">
        <v>8</v>
      </c>
      <c r="F1009" s="13">
        <v>10</v>
      </c>
      <c r="G1009" s="13">
        <f t="shared" si="42"/>
        <v>273</v>
      </c>
      <c r="H1009" s="13">
        <v>113</v>
      </c>
      <c r="I1009" s="14">
        <f t="shared" si="43"/>
        <v>-112.23013698630137</v>
      </c>
      <c r="J1009" s="15" t="s">
        <v>2083</v>
      </c>
      <c r="T1009" s="8"/>
    </row>
    <row r="1010" spans="1:37" x14ac:dyDescent="0.2">
      <c r="A1010">
        <v>-112</v>
      </c>
      <c r="B1010" s="10" t="s">
        <v>91</v>
      </c>
      <c r="C1010" s="11" t="s">
        <v>1487</v>
      </c>
      <c r="D1010" s="7" t="s">
        <v>2083</v>
      </c>
      <c r="E1010" s="13">
        <v>17</v>
      </c>
      <c r="F1010" s="13">
        <v>10</v>
      </c>
      <c r="G1010" s="13">
        <f t="shared" si="42"/>
        <v>273</v>
      </c>
      <c r="H1010" s="13">
        <v>113</v>
      </c>
      <c r="I1010" s="14">
        <f t="shared" si="43"/>
        <v>-112.20547945205479</v>
      </c>
      <c r="J1010" s="7" t="s">
        <v>2084</v>
      </c>
      <c r="T1010" s="8"/>
      <c r="AC1010">
        <v>18</v>
      </c>
      <c r="AD1010" s="17">
        <v>18</v>
      </c>
      <c r="AE1010" s="16">
        <f>1000/AD1010</f>
        <v>55.555555555555557</v>
      </c>
      <c r="AF1010" s="16">
        <f>8.33*AE1010</f>
        <v>462.77777777777777</v>
      </c>
    </row>
    <row r="1011" spans="1:37" x14ac:dyDescent="0.2">
      <c r="A1011">
        <v>-112</v>
      </c>
      <c r="B1011" s="10" t="s">
        <v>91</v>
      </c>
      <c r="C1011" s="11" t="s">
        <v>45</v>
      </c>
      <c r="D1011" s="15" t="s">
        <v>2085</v>
      </c>
      <c r="E1011" s="13">
        <v>18</v>
      </c>
      <c r="F1011" s="13">
        <v>10</v>
      </c>
      <c r="G1011" s="13">
        <f t="shared" si="42"/>
        <v>273</v>
      </c>
      <c r="H1011" s="13">
        <v>113</v>
      </c>
      <c r="I1011" s="14">
        <f t="shared" si="43"/>
        <v>-112.2027397260274</v>
      </c>
      <c r="J1011" s="15" t="s">
        <v>2086</v>
      </c>
      <c r="T1011" s="8"/>
    </row>
    <row r="1012" spans="1:37" x14ac:dyDescent="0.2">
      <c r="A1012">
        <v>-112</v>
      </c>
      <c r="B1012" s="10" t="s">
        <v>91</v>
      </c>
      <c r="C1012" s="11" t="s">
        <v>1790</v>
      </c>
      <c r="D1012" s="7" t="s">
        <v>2087</v>
      </c>
      <c r="E1012" s="13">
        <v>23</v>
      </c>
      <c r="F1012" s="13">
        <v>10</v>
      </c>
      <c r="G1012" s="13">
        <f t="shared" si="42"/>
        <v>273</v>
      </c>
      <c r="H1012" s="13">
        <v>113</v>
      </c>
      <c r="I1012" s="14">
        <f t="shared" si="43"/>
        <v>-112.18904109589042</v>
      </c>
      <c r="J1012" s="7" t="s">
        <v>2086</v>
      </c>
      <c r="T1012" s="8"/>
      <c r="Y1012" t="s">
        <v>41</v>
      </c>
    </row>
    <row r="1013" spans="1:37" x14ac:dyDescent="0.2">
      <c r="A1013">
        <v>-112</v>
      </c>
      <c r="B1013" s="10" t="s">
        <v>127</v>
      </c>
      <c r="D1013" s="15" t="s">
        <v>2088</v>
      </c>
      <c r="E1013" s="13">
        <v>21</v>
      </c>
      <c r="F1013" s="13">
        <v>2</v>
      </c>
      <c r="G1013" s="13">
        <f t="shared" si="42"/>
        <v>31</v>
      </c>
      <c r="H1013" s="13">
        <v>112</v>
      </c>
      <c r="I1013" s="14">
        <f t="shared" si="43"/>
        <v>-111.85753424657534</v>
      </c>
      <c r="J1013" s="15" t="s">
        <v>2089</v>
      </c>
      <c r="T1013" s="8"/>
      <c r="AG1013" s="1">
        <v>2</v>
      </c>
      <c r="AH1013" s="9">
        <v>2</v>
      </c>
      <c r="AI1013" s="8">
        <f>1/AH1013</f>
        <v>0.5</v>
      </c>
      <c r="AJ1013" s="8">
        <f>8.33*AI1013</f>
        <v>4.165</v>
      </c>
    </row>
    <row r="1014" spans="1:37" x14ac:dyDescent="0.2">
      <c r="A1014">
        <v>-111</v>
      </c>
      <c r="B1014" s="10" t="s">
        <v>60</v>
      </c>
      <c r="D1014" s="15" t="s">
        <v>2090</v>
      </c>
      <c r="E1014" s="13">
        <v>22</v>
      </c>
      <c r="F1014" s="13">
        <v>4</v>
      </c>
      <c r="G1014" s="13">
        <f t="shared" si="42"/>
        <v>90</v>
      </c>
      <c r="H1014" s="13">
        <v>112</v>
      </c>
      <c r="I1014" s="14">
        <f t="shared" si="43"/>
        <v>-111.69315068493151</v>
      </c>
      <c r="J1014" s="15" t="s">
        <v>2091</v>
      </c>
      <c r="T1014" s="8"/>
      <c r="AG1014" s="1">
        <v>2</v>
      </c>
      <c r="AH1014" s="9">
        <v>2</v>
      </c>
      <c r="AI1014" s="8">
        <f>1/AH1014</f>
        <v>0.5</v>
      </c>
      <c r="AJ1014" s="8">
        <f>8.33*AI1014</f>
        <v>4.165</v>
      </c>
    </row>
    <row r="1015" spans="1:37" x14ac:dyDescent="0.2">
      <c r="A1015">
        <v>-111</v>
      </c>
      <c r="B1015" s="10" t="s">
        <v>60</v>
      </c>
      <c r="C1015" s="11" t="s">
        <v>39</v>
      </c>
      <c r="D1015" s="15" t="s">
        <v>2090</v>
      </c>
      <c r="E1015" s="13">
        <v>22</v>
      </c>
      <c r="F1015" s="13">
        <v>4</v>
      </c>
      <c r="G1015" s="13">
        <f t="shared" si="42"/>
        <v>90</v>
      </c>
      <c r="H1015" s="13">
        <v>112</v>
      </c>
      <c r="I1015" s="14">
        <f t="shared" si="43"/>
        <v>-111.69315068493151</v>
      </c>
      <c r="J1015" s="15" t="s">
        <v>2092</v>
      </c>
      <c r="T1015" s="8"/>
      <c r="U1015" t="s">
        <v>41</v>
      </c>
    </row>
    <row r="1016" spans="1:37" x14ac:dyDescent="0.2">
      <c r="A1016">
        <v>-111</v>
      </c>
      <c r="B1016" s="10" t="s">
        <v>60</v>
      </c>
      <c r="C1016" s="11" t="s">
        <v>2093</v>
      </c>
      <c r="D1016" s="7" t="s">
        <v>2090</v>
      </c>
      <c r="E1016" s="13">
        <v>22</v>
      </c>
      <c r="F1016" s="13">
        <v>4</v>
      </c>
      <c r="G1016" s="13">
        <f t="shared" si="42"/>
        <v>90</v>
      </c>
      <c r="H1016" s="13">
        <v>112</v>
      </c>
      <c r="I1016" s="14">
        <f t="shared" si="43"/>
        <v>-111.69315068493151</v>
      </c>
      <c r="J1016" s="7" t="s">
        <v>2094</v>
      </c>
      <c r="P1016">
        <v>168</v>
      </c>
      <c r="Q1016" s="17">
        <v>168</v>
      </c>
      <c r="R1016" s="16">
        <f>1000/Q1016</f>
        <v>5.9523809523809526</v>
      </c>
      <c r="S1016" s="16">
        <f>8.33*R1016</f>
        <v>49.583333333333336</v>
      </c>
      <c r="T1016" s="16">
        <f>S1016*1.33</f>
        <v>65.94583333333334</v>
      </c>
    </row>
    <row r="1017" spans="1:37" x14ac:dyDescent="0.2">
      <c r="A1017">
        <v>-111</v>
      </c>
      <c r="B1017" s="10" t="s">
        <v>60</v>
      </c>
      <c r="C1017" s="11" t="s">
        <v>2072</v>
      </c>
      <c r="D1017" s="7" t="s">
        <v>2090</v>
      </c>
      <c r="E1017" s="13">
        <v>22</v>
      </c>
      <c r="F1017" s="13">
        <v>4</v>
      </c>
      <c r="G1017" s="13">
        <f t="shared" si="42"/>
        <v>90</v>
      </c>
      <c r="H1017" s="13">
        <v>112</v>
      </c>
      <c r="I1017" s="14">
        <f t="shared" si="43"/>
        <v>-111.69315068493151</v>
      </c>
      <c r="J1017" s="7" t="s">
        <v>2095</v>
      </c>
      <c r="AC1017">
        <v>15.75</v>
      </c>
      <c r="AD1017" s="17">
        <v>15.75</v>
      </c>
      <c r="AE1017" s="16">
        <f>1000/AD1017</f>
        <v>63.492063492063494</v>
      </c>
      <c r="AF1017" s="16">
        <f>8.33*AE1017</f>
        <v>528.88888888888891</v>
      </c>
    </row>
    <row r="1018" spans="1:37" x14ac:dyDescent="0.2">
      <c r="A1018">
        <v>-111</v>
      </c>
      <c r="B1018" s="10" t="s">
        <v>60</v>
      </c>
      <c r="C1018" s="11" t="s">
        <v>2096</v>
      </c>
      <c r="D1018" s="7" t="s">
        <v>2097</v>
      </c>
      <c r="E1018" s="13">
        <v>26</v>
      </c>
      <c r="F1018" s="13">
        <v>4</v>
      </c>
      <c r="G1018" s="13">
        <f t="shared" si="42"/>
        <v>90</v>
      </c>
      <c r="H1018" s="13">
        <v>112</v>
      </c>
      <c r="I1018" s="14">
        <f t="shared" si="43"/>
        <v>-111.68219178082192</v>
      </c>
      <c r="J1018" s="7" t="s">
        <v>2098</v>
      </c>
      <c r="P1018">
        <v>180</v>
      </c>
      <c r="Q1018" s="17">
        <v>180</v>
      </c>
      <c r="R1018" s="16">
        <f>1000/Q1018</f>
        <v>5.5555555555555554</v>
      </c>
      <c r="S1018" s="16">
        <f>8.33*R1018</f>
        <v>46.277777777777779</v>
      </c>
      <c r="T1018" s="16">
        <f>S1018*1.33</f>
        <v>61.549444444444447</v>
      </c>
    </row>
    <row r="1019" spans="1:37" x14ac:dyDescent="0.2">
      <c r="A1019">
        <v>-111</v>
      </c>
      <c r="B1019" s="10" t="s">
        <v>60</v>
      </c>
      <c r="C1019" s="11" t="s">
        <v>2074</v>
      </c>
      <c r="D1019" s="7" t="s">
        <v>2099</v>
      </c>
      <c r="E1019" s="13">
        <v>28</v>
      </c>
      <c r="F1019" s="13">
        <v>4</v>
      </c>
      <c r="G1019" s="13">
        <f t="shared" si="42"/>
        <v>90</v>
      </c>
      <c r="H1019" s="13">
        <v>112</v>
      </c>
      <c r="I1019" s="14">
        <f t="shared" si="43"/>
        <v>-111.67671232876712</v>
      </c>
      <c r="J1019" s="7" t="s">
        <v>2091</v>
      </c>
      <c r="AC1019" t="s">
        <v>2100</v>
      </c>
      <c r="AD1019" s="20">
        <v>16.25</v>
      </c>
      <c r="AE1019" s="19">
        <f>1000/AD1019</f>
        <v>61.53846153846154</v>
      </c>
      <c r="AF1019" s="19">
        <f>8.33*AE1019</f>
        <v>512.61538461538464</v>
      </c>
    </row>
    <row r="1020" spans="1:37" x14ac:dyDescent="0.2">
      <c r="A1020">
        <v>-111</v>
      </c>
      <c r="B1020" s="10" t="s">
        <v>60</v>
      </c>
      <c r="C1020" s="11" t="s">
        <v>42</v>
      </c>
      <c r="D1020" s="26" t="s">
        <v>2101</v>
      </c>
      <c r="E1020" s="13">
        <v>2</v>
      </c>
      <c r="F1020" s="13">
        <v>5</v>
      </c>
      <c r="G1020" s="13">
        <f t="shared" si="42"/>
        <v>120</v>
      </c>
      <c r="H1020" s="13">
        <v>112</v>
      </c>
      <c r="I1020" s="14">
        <f t="shared" si="43"/>
        <v>-111.66575342465754</v>
      </c>
      <c r="J1020" s="26" t="s">
        <v>2102</v>
      </c>
    </row>
    <row r="1021" spans="1:37" x14ac:dyDescent="0.2">
      <c r="A1021">
        <v>-111</v>
      </c>
      <c r="B1021" s="10" t="s">
        <v>60</v>
      </c>
      <c r="C1021" s="11" t="s">
        <v>1520</v>
      </c>
      <c r="D1021" s="25" t="s">
        <v>2098</v>
      </c>
      <c r="E1021" s="13">
        <v>3</v>
      </c>
      <c r="F1021" s="13">
        <v>5</v>
      </c>
      <c r="G1021" s="13">
        <f t="shared" si="42"/>
        <v>120</v>
      </c>
      <c r="H1021" s="13">
        <v>112</v>
      </c>
      <c r="I1021" s="14">
        <f t="shared" si="43"/>
        <v>-111.66301369863014</v>
      </c>
      <c r="J1021" s="7" t="s">
        <v>2103</v>
      </c>
      <c r="Y1021">
        <v>60</v>
      </c>
      <c r="Z1021" s="17">
        <v>60</v>
      </c>
      <c r="AA1021" s="16">
        <f>1000/Z1021</f>
        <v>16.666666666666668</v>
      </c>
      <c r="AB1021" s="16">
        <f>8.33*AA1021</f>
        <v>138.83333333333334</v>
      </c>
    </row>
    <row r="1022" spans="1:37" x14ac:dyDescent="0.2">
      <c r="A1022">
        <v>-111</v>
      </c>
      <c r="B1022" s="10" t="s">
        <v>60</v>
      </c>
      <c r="C1022" s="11" t="s">
        <v>1934</v>
      </c>
      <c r="D1022" s="7" t="s">
        <v>2103</v>
      </c>
      <c r="E1022" s="13">
        <v>4</v>
      </c>
      <c r="F1022" s="13">
        <v>5</v>
      </c>
      <c r="G1022" s="13">
        <f t="shared" si="42"/>
        <v>120</v>
      </c>
      <c r="H1022" s="13">
        <v>112</v>
      </c>
      <c r="I1022" s="14">
        <f t="shared" si="43"/>
        <v>-111.66027397260274</v>
      </c>
      <c r="J1022" s="7" t="s">
        <v>2104</v>
      </c>
      <c r="P1022">
        <v>186</v>
      </c>
      <c r="Q1022" s="17">
        <v>186</v>
      </c>
      <c r="R1022" s="16">
        <f>1000/Q1022</f>
        <v>5.376344086021505</v>
      </c>
      <c r="S1022" s="16">
        <f>8.33*R1022</f>
        <v>44.784946236559136</v>
      </c>
      <c r="T1022" s="16">
        <f>S1022*1.33</f>
        <v>59.563978494623655</v>
      </c>
    </row>
    <row r="1023" spans="1:37" x14ac:dyDescent="0.2">
      <c r="A1023">
        <v>-111</v>
      </c>
      <c r="B1023" s="10" t="s">
        <v>60</v>
      </c>
      <c r="C1023" s="11" t="s">
        <v>2105</v>
      </c>
      <c r="D1023" s="7" t="s">
        <v>2103</v>
      </c>
      <c r="E1023" s="13">
        <v>4</v>
      </c>
      <c r="F1023" s="13">
        <v>5</v>
      </c>
      <c r="G1023" s="13">
        <f t="shared" si="42"/>
        <v>120</v>
      </c>
      <c r="H1023" s="13">
        <v>112</v>
      </c>
      <c r="I1023" s="14">
        <f t="shared" si="43"/>
        <v>-111.66027397260274</v>
      </c>
      <c r="J1023" s="7" t="s">
        <v>2091</v>
      </c>
      <c r="P1023">
        <v>240</v>
      </c>
      <c r="Y1023">
        <v>72</v>
      </c>
      <c r="Z1023" s="17">
        <v>72</v>
      </c>
      <c r="AA1023" s="16">
        <f>1000/Z1023</f>
        <v>13.888888888888889</v>
      </c>
      <c r="AB1023" s="16">
        <f>8.33*AA1023</f>
        <v>115.69444444444444</v>
      </c>
      <c r="AK1023" t="s">
        <v>2106</v>
      </c>
    </row>
    <row r="1024" spans="1:37" x14ac:dyDescent="0.2">
      <c r="A1024">
        <v>-111</v>
      </c>
      <c r="B1024" s="10" t="s">
        <v>60</v>
      </c>
      <c r="C1024" s="11" t="s">
        <v>2050</v>
      </c>
      <c r="D1024" s="7" t="s">
        <v>2102</v>
      </c>
      <c r="E1024" s="13">
        <v>11</v>
      </c>
      <c r="F1024" s="13">
        <v>5</v>
      </c>
      <c r="G1024" s="13">
        <f t="shared" si="42"/>
        <v>120</v>
      </c>
      <c r="H1024" s="13">
        <v>112</v>
      </c>
      <c r="I1024" s="14">
        <f t="shared" si="43"/>
        <v>-111.64109589041095</v>
      </c>
      <c r="J1024" s="7" t="s">
        <v>2091</v>
      </c>
      <c r="P1024">
        <v>192</v>
      </c>
      <c r="Q1024" s="17">
        <v>192</v>
      </c>
      <c r="R1024" s="16">
        <f>1000/Q1024</f>
        <v>5.208333333333333</v>
      </c>
      <c r="S1024" s="16">
        <f>8.33*R1024</f>
        <v>43.385416666666664</v>
      </c>
      <c r="T1024" s="16">
        <f>S1024*1.33</f>
        <v>57.702604166666667</v>
      </c>
    </row>
    <row r="1025" spans="1:36" x14ac:dyDescent="0.2">
      <c r="A1025">
        <v>-111</v>
      </c>
      <c r="B1025" s="10" t="s">
        <v>60</v>
      </c>
      <c r="C1025" s="11" t="s">
        <v>45</v>
      </c>
      <c r="D1025" s="26" t="s">
        <v>2107</v>
      </c>
      <c r="E1025" s="13">
        <v>12</v>
      </c>
      <c r="F1025" s="13">
        <v>5</v>
      </c>
      <c r="G1025" s="13">
        <f t="shared" si="42"/>
        <v>120</v>
      </c>
      <c r="H1025" s="13">
        <v>112</v>
      </c>
      <c r="I1025" s="14">
        <f t="shared" si="43"/>
        <v>-111.63835616438357</v>
      </c>
      <c r="J1025" s="26" t="s">
        <v>2091</v>
      </c>
    </row>
    <row r="1026" spans="1:36" x14ac:dyDescent="0.2">
      <c r="A1026">
        <v>-111</v>
      </c>
      <c r="B1026" s="10" t="s">
        <v>47</v>
      </c>
      <c r="D1026" s="15" t="s">
        <v>2108</v>
      </c>
      <c r="E1026" s="13">
        <v>21</v>
      </c>
      <c r="F1026" s="13">
        <v>5</v>
      </c>
      <c r="G1026" s="13">
        <f t="shared" ref="G1026:G1089" si="47">INDEX(A$1502:A$1513,F1026)</f>
        <v>120</v>
      </c>
      <c r="H1026" s="13">
        <v>112</v>
      </c>
      <c r="I1026" s="14">
        <f t="shared" si="43"/>
        <v>-111.61369863013698</v>
      </c>
      <c r="J1026" s="26" t="s">
        <v>2109</v>
      </c>
      <c r="P1026" s="1" t="s">
        <v>2065</v>
      </c>
      <c r="Q1026" s="21">
        <v>171</v>
      </c>
      <c r="R1026" s="22">
        <f>1000/Q1026</f>
        <v>5.8479532163742691</v>
      </c>
      <c r="S1026" s="22">
        <f>8.33*R1026</f>
        <v>48.71345029239766</v>
      </c>
      <c r="T1026" s="19">
        <f>S1026*1.33</f>
        <v>64.788888888888891</v>
      </c>
      <c r="Y1026" s="1">
        <v>72</v>
      </c>
      <c r="Z1026" s="9">
        <v>72</v>
      </c>
      <c r="AA1026" s="8">
        <f>1000/Z1026</f>
        <v>13.888888888888889</v>
      </c>
      <c r="AB1026" s="8">
        <f>8.33*AA1026</f>
        <v>115.69444444444444</v>
      </c>
    </row>
    <row r="1027" spans="1:36" x14ac:dyDescent="0.2">
      <c r="A1027">
        <v>-111</v>
      </c>
      <c r="B1027" s="10" t="s">
        <v>47</v>
      </c>
      <c r="C1027" s="11" t="s">
        <v>39</v>
      </c>
      <c r="D1027" s="15" t="s">
        <v>2108</v>
      </c>
      <c r="E1027" s="13">
        <v>21</v>
      </c>
      <c r="F1027" s="13">
        <v>5</v>
      </c>
      <c r="G1027" s="13">
        <f t="shared" si="47"/>
        <v>120</v>
      </c>
      <c r="H1027" s="13">
        <v>112</v>
      </c>
      <c r="I1027" s="14">
        <f t="shared" ref="I1027:I1090" si="48">($E1027+$G1027)/365-$H1027</f>
        <v>-111.61369863013698</v>
      </c>
      <c r="J1027" s="15" t="s">
        <v>2110</v>
      </c>
      <c r="K1027" s="10">
        <v>192</v>
      </c>
      <c r="Q1027" s="9"/>
      <c r="T1027" s="8"/>
      <c r="U1027" t="s">
        <v>2111</v>
      </c>
      <c r="AC1027" t="s">
        <v>41</v>
      </c>
    </row>
    <row r="1028" spans="1:36" x14ac:dyDescent="0.2">
      <c r="A1028">
        <v>-111</v>
      </c>
      <c r="B1028" s="10" t="s">
        <v>47</v>
      </c>
      <c r="C1028" s="11" t="s">
        <v>42</v>
      </c>
      <c r="D1028" s="15" t="s">
        <v>2112</v>
      </c>
      <c r="E1028" s="13">
        <v>31</v>
      </c>
      <c r="F1028" s="13">
        <v>5</v>
      </c>
      <c r="G1028" s="13">
        <f t="shared" si="47"/>
        <v>120</v>
      </c>
      <c r="H1028" s="13">
        <v>112</v>
      </c>
      <c r="I1028" s="14">
        <f t="shared" si="48"/>
        <v>-111.58630136986301</v>
      </c>
      <c r="J1028" s="15" t="s">
        <v>2113</v>
      </c>
      <c r="T1028" s="8"/>
    </row>
    <row r="1029" spans="1:36" x14ac:dyDescent="0.2">
      <c r="A1029">
        <v>-111</v>
      </c>
      <c r="B1029" s="10" t="s">
        <v>47</v>
      </c>
      <c r="C1029" s="11" t="s">
        <v>45</v>
      </c>
      <c r="D1029" s="15" t="s">
        <v>2114</v>
      </c>
      <c r="E1029" s="13">
        <v>10</v>
      </c>
      <c r="F1029" s="13">
        <v>6</v>
      </c>
      <c r="G1029" s="13">
        <f t="shared" si="47"/>
        <v>151</v>
      </c>
      <c r="H1029" s="13">
        <v>112</v>
      </c>
      <c r="I1029" s="14">
        <f t="shared" si="48"/>
        <v>-111.55890410958904</v>
      </c>
      <c r="J1029" s="15" t="s">
        <v>2109</v>
      </c>
      <c r="K1029" s="10">
        <v>210</v>
      </c>
      <c r="L1029" s="16">
        <v>210</v>
      </c>
      <c r="M1029" s="16">
        <f>1000/L1029</f>
        <v>4.7619047619047619</v>
      </c>
      <c r="N1029" s="16">
        <f>8.33*M1029</f>
        <v>39.666666666666664</v>
      </c>
      <c r="O1029" s="16">
        <f>1.613*N1029</f>
        <v>63.98233333333333</v>
      </c>
      <c r="T1029" s="8"/>
    </row>
    <row r="1030" spans="1:36" x14ac:dyDescent="0.2">
      <c r="A1030">
        <v>-111</v>
      </c>
      <c r="B1030" s="10" t="s">
        <v>65</v>
      </c>
      <c r="D1030" s="15" t="s">
        <v>2115</v>
      </c>
      <c r="E1030" s="13">
        <v>20</v>
      </c>
      <c r="F1030" s="13">
        <v>6</v>
      </c>
      <c r="G1030" s="13">
        <f t="shared" si="47"/>
        <v>151</v>
      </c>
      <c r="H1030" s="13">
        <v>112</v>
      </c>
      <c r="I1030" s="14">
        <f t="shared" si="48"/>
        <v>-111.53150684931506</v>
      </c>
      <c r="J1030" s="15" t="s">
        <v>2116</v>
      </c>
      <c r="K1030" s="10" t="s">
        <v>41</v>
      </c>
      <c r="T1030" s="8"/>
      <c r="AG1030" s="1">
        <v>1.5</v>
      </c>
      <c r="AH1030" s="9">
        <v>1.5</v>
      </c>
      <c r="AI1030" s="8">
        <f>1/AH1030</f>
        <v>0.66666666666666663</v>
      </c>
      <c r="AJ1030" s="8">
        <f>8.33*AI1030</f>
        <v>5.5533333333333328</v>
      </c>
    </row>
    <row r="1031" spans="1:36" x14ac:dyDescent="0.2">
      <c r="A1031">
        <v>-111</v>
      </c>
      <c r="B1031" s="10" t="s">
        <v>130</v>
      </c>
      <c r="D1031" s="15" t="s">
        <v>2117</v>
      </c>
      <c r="E1031" s="13">
        <v>20</v>
      </c>
      <c r="F1031" s="13">
        <v>7</v>
      </c>
      <c r="G1031" s="13">
        <f t="shared" si="47"/>
        <v>181</v>
      </c>
      <c r="H1031" s="13">
        <v>112</v>
      </c>
      <c r="I1031" s="14">
        <f t="shared" si="48"/>
        <v>-111.44931506849315</v>
      </c>
      <c r="J1031" s="15" t="s">
        <v>2118</v>
      </c>
      <c r="T1031" s="8"/>
      <c r="AC1031" s="1">
        <v>24</v>
      </c>
      <c r="AD1031" s="9">
        <v>24</v>
      </c>
      <c r="AE1031" s="8">
        <f>1000/AD1031</f>
        <v>41.666666666666664</v>
      </c>
      <c r="AF1031" s="8">
        <f>8.33*AE1031</f>
        <v>347.08333333333331</v>
      </c>
      <c r="AG1031" s="1">
        <v>2</v>
      </c>
      <c r="AH1031" s="9">
        <v>2</v>
      </c>
      <c r="AI1031" s="8">
        <f>1/AH1031</f>
        <v>0.5</v>
      </c>
      <c r="AJ1031" s="8">
        <f>8.33*AI1031</f>
        <v>4.165</v>
      </c>
    </row>
    <row r="1032" spans="1:36" x14ac:dyDescent="0.2">
      <c r="A1032">
        <v>-111</v>
      </c>
      <c r="B1032" s="10" t="s">
        <v>130</v>
      </c>
      <c r="C1032" s="11" t="s">
        <v>39</v>
      </c>
      <c r="D1032" s="15" t="s">
        <v>2117</v>
      </c>
      <c r="E1032" s="13">
        <v>20</v>
      </c>
      <c r="F1032" s="13">
        <v>7</v>
      </c>
      <c r="G1032" s="13">
        <f t="shared" si="47"/>
        <v>181</v>
      </c>
      <c r="H1032" s="13">
        <v>112</v>
      </c>
      <c r="I1032" s="14">
        <f t="shared" si="48"/>
        <v>-111.44931506849315</v>
      </c>
      <c r="J1032" s="15" t="s">
        <v>2119</v>
      </c>
      <c r="K1032" s="10" t="s">
        <v>2120</v>
      </c>
      <c r="T1032" s="8"/>
    </row>
    <row r="1033" spans="1:36" x14ac:dyDescent="0.2">
      <c r="A1033">
        <v>-111</v>
      </c>
      <c r="B1033" s="10" t="s">
        <v>130</v>
      </c>
      <c r="C1033" s="11" t="s">
        <v>2121</v>
      </c>
      <c r="D1033" s="25" t="s">
        <v>2117</v>
      </c>
      <c r="E1033" s="13">
        <v>20</v>
      </c>
      <c r="F1033" s="13">
        <v>7</v>
      </c>
      <c r="G1033" s="13">
        <f t="shared" si="47"/>
        <v>181</v>
      </c>
      <c r="H1033" s="13">
        <v>112</v>
      </c>
      <c r="I1033" s="14">
        <f t="shared" si="48"/>
        <v>-111.44931506849315</v>
      </c>
      <c r="J1033" s="7" t="s">
        <v>2122</v>
      </c>
      <c r="K1033" s="10" t="s">
        <v>2123</v>
      </c>
      <c r="L1033" s="19">
        <v>198</v>
      </c>
      <c r="M1033" s="19">
        <f>1000/L1033</f>
        <v>5.0505050505050502</v>
      </c>
      <c r="N1033" s="19">
        <f>8.33*M1033</f>
        <v>42.070707070707066</v>
      </c>
      <c r="O1033" s="19">
        <f>1.613*N1033</f>
        <v>67.860050505050495</v>
      </c>
      <c r="T1033" s="8"/>
    </row>
    <row r="1034" spans="1:36" x14ac:dyDescent="0.2">
      <c r="A1034">
        <v>-111</v>
      </c>
      <c r="B1034" s="10" t="s">
        <v>130</v>
      </c>
      <c r="C1034" s="11" t="s">
        <v>1633</v>
      </c>
      <c r="D1034" s="7" t="s">
        <v>2124</v>
      </c>
      <c r="E1034" s="13">
        <v>24</v>
      </c>
      <c r="F1034" s="13">
        <v>7</v>
      </c>
      <c r="G1034" s="13">
        <f t="shared" si="47"/>
        <v>181</v>
      </c>
      <c r="H1034" s="13">
        <v>112</v>
      </c>
      <c r="I1034" s="14">
        <f t="shared" si="48"/>
        <v>-111.43835616438356</v>
      </c>
      <c r="J1034" s="7" t="s">
        <v>2125</v>
      </c>
      <c r="K1034" s="10">
        <v>180</v>
      </c>
      <c r="L1034" s="16">
        <v>180</v>
      </c>
      <c r="M1034" s="16">
        <f>1000/L1034</f>
        <v>5.5555555555555554</v>
      </c>
      <c r="N1034" s="16">
        <f>8.33*M1034</f>
        <v>46.277777777777779</v>
      </c>
      <c r="O1034" s="16">
        <f>1.613*N1034</f>
        <v>74.646055555555563</v>
      </c>
      <c r="T1034" s="8"/>
    </row>
    <row r="1035" spans="1:36" x14ac:dyDescent="0.2">
      <c r="A1035">
        <v>-111</v>
      </c>
      <c r="B1035" s="10" t="s">
        <v>130</v>
      </c>
      <c r="C1035" s="11" t="s">
        <v>42</v>
      </c>
      <c r="D1035" s="15" t="s">
        <v>2126</v>
      </c>
      <c r="E1035" s="13">
        <v>30</v>
      </c>
      <c r="F1035" s="13">
        <v>7</v>
      </c>
      <c r="G1035" s="13">
        <f t="shared" si="47"/>
        <v>181</v>
      </c>
      <c r="H1035" s="13">
        <v>112</v>
      </c>
      <c r="I1035" s="14">
        <f t="shared" si="48"/>
        <v>-111.42191780821918</v>
      </c>
      <c r="J1035" s="15" t="s">
        <v>2127</v>
      </c>
      <c r="T1035" s="8"/>
    </row>
    <row r="1036" spans="1:36" x14ac:dyDescent="0.2">
      <c r="A1036">
        <v>-111</v>
      </c>
      <c r="B1036" s="10" t="s">
        <v>130</v>
      </c>
      <c r="C1036" s="11" t="s">
        <v>45</v>
      </c>
      <c r="D1036" s="15" t="s">
        <v>2128</v>
      </c>
      <c r="E1036" s="13">
        <v>9</v>
      </c>
      <c r="F1036" s="13">
        <v>8</v>
      </c>
      <c r="G1036" s="13">
        <f t="shared" si="47"/>
        <v>212</v>
      </c>
      <c r="H1036" s="13">
        <v>112</v>
      </c>
      <c r="I1036" s="14">
        <f t="shared" si="48"/>
        <v>-111.39452054794521</v>
      </c>
      <c r="J1036" s="15" t="s">
        <v>2118</v>
      </c>
      <c r="T1036" s="8"/>
    </row>
    <row r="1037" spans="1:36" x14ac:dyDescent="0.2">
      <c r="A1037">
        <v>-110</v>
      </c>
      <c r="B1037" s="10" t="s">
        <v>285</v>
      </c>
      <c r="C1037" s="11" t="s">
        <v>39</v>
      </c>
      <c r="D1037" s="15" t="s">
        <v>2129</v>
      </c>
      <c r="E1037" s="13">
        <v>8</v>
      </c>
      <c r="F1037" s="13">
        <v>8</v>
      </c>
      <c r="G1037" s="13">
        <f t="shared" si="47"/>
        <v>212</v>
      </c>
      <c r="H1037" s="13">
        <v>111</v>
      </c>
      <c r="I1037" s="14">
        <f t="shared" si="48"/>
        <v>-110.39726027397261</v>
      </c>
      <c r="J1037" s="15" t="s">
        <v>2130</v>
      </c>
      <c r="T1037" s="8"/>
      <c r="U1037" t="s">
        <v>182</v>
      </c>
      <c r="V1037" s="20">
        <v>360</v>
      </c>
      <c r="W1037" s="19">
        <f>1000/V1037</f>
        <v>2.7777777777777777</v>
      </c>
      <c r="X1037" s="19">
        <f>8.33*W1037</f>
        <v>23.138888888888889</v>
      </c>
      <c r="AC1037" t="s">
        <v>41</v>
      </c>
    </row>
    <row r="1038" spans="1:36" x14ac:dyDescent="0.2">
      <c r="A1038">
        <v>-110</v>
      </c>
      <c r="B1038" s="10" t="s">
        <v>285</v>
      </c>
      <c r="C1038" s="11" t="s">
        <v>42</v>
      </c>
      <c r="D1038" s="15" t="s">
        <v>2131</v>
      </c>
      <c r="E1038" s="13">
        <v>18</v>
      </c>
      <c r="F1038" s="13">
        <v>8</v>
      </c>
      <c r="G1038" s="13">
        <f t="shared" si="47"/>
        <v>212</v>
      </c>
      <c r="H1038" s="13">
        <v>111</v>
      </c>
      <c r="I1038" s="14">
        <f t="shared" si="48"/>
        <v>-110.36986301369863</v>
      </c>
      <c r="J1038" s="15" t="s">
        <v>2132</v>
      </c>
      <c r="T1038" s="8"/>
      <c r="Y1038">
        <v>48</v>
      </c>
      <c r="Z1038" s="17">
        <v>48</v>
      </c>
      <c r="AA1038" s="16">
        <f>1000/Z1038</f>
        <v>20.833333333333332</v>
      </c>
      <c r="AB1038" s="16">
        <f>8.33*AA1038</f>
        <v>173.54166666666666</v>
      </c>
    </row>
    <row r="1039" spans="1:36" x14ac:dyDescent="0.2">
      <c r="A1039">
        <v>-110</v>
      </c>
      <c r="B1039" s="10" t="s">
        <v>285</v>
      </c>
      <c r="C1039" s="11" t="s">
        <v>45</v>
      </c>
      <c r="D1039" s="15" t="s">
        <v>2133</v>
      </c>
      <c r="E1039" s="13">
        <v>28</v>
      </c>
      <c r="F1039" s="13">
        <v>9</v>
      </c>
      <c r="G1039" s="13">
        <f t="shared" si="47"/>
        <v>243</v>
      </c>
      <c r="H1039" s="13">
        <v>111</v>
      </c>
      <c r="I1039" s="14">
        <f t="shared" si="48"/>
        <v>-110.25753424657535</v>
      </c>
      <c r="J1039" s="15" t="s">
        <v>2134</v>
      </c>
      <c r="T1039" s="8"/>
      <c r="Y1039">
        <v>41</v>
      </c>
      <c r="Z1039" s="17">
        <v>41</v>
      </c>
      <c r="AA1039" s="16">
        <f>1000/Z1039</f>
        <v>24.390243902439025</v>
      </c>
      <c r="AB1039" s="16">
        <f>8.33*AA1039</f>
        <v>203.17073170731709</v>
      </c>
    </row>
    <row r="1040" spans="1:36" x14ac:dyDescent="0.2">
      <c r="A1040">
        <v>-109</v>
      </c>
      <c r="B1040" s="10" t="s">
        <v>94</v>
      </c>
      <c r="D1040" s="15" t="s">
        <v>2135</v>
      </c>
      <c r="E1040" s="13">
        <v>25</v>
      </c>
      <c r="F1040" s="13">
        <v>10</v>
      </c>
      <c r="G1040" s="13">
        <f t="shared" si="47"/>
        <v>273</v>
      </c>
      <c r="H1040" s="13">
        <v>110</v>
      </c>
      <c r="I1040" s="14">
        <f t="shared" si="48"/>
        <v>-109.18356164383562</v>
      </c>
      <c r="J1040" s="15" t="s">
        <v>2136</v>
      </c>
      <c r="K1040" s="2">
        <v>80</v>
      </c>
      <c r="L1040" s="8">
        <v>80</v>
      </c>
      <c r="M1040" s="8">
        <f>1000/L1040</f>
        <v>12.5</v>
      </c>
      <c r="N1040" s="8">
        <f>8.33*M1040</f>
        <v>104.125</v>
      </c>
      <c r="O1040" s="8">
        <f>1.613*N1040</f>
        <v>167.95362499999999</v>
      </c>
      <c r="T1040" s="8"/>
      <c r="Y1040" s="1">
        <v>36</v>
      </c>
      <c r="Z1040" s="9">
        <v>36</v>
      </c>
      <c r="AA1040" s="8">
        <f>1000/Z1040</f>
        <v>27.777777777777779</v>
      </c>
      <c r="AB1040" s="8">
        <f>8.33*AA1040</f>
        <v>231.38888888888889</v>
      </c>
      <c r="AC1040" s="1">
        <v>18</v>
      </c>
      <c r="AD1040" s="9">
        <v>18</v>
      </c>
      <c r="AE1040" s="8">
        <f>1000/AD1040</f>
        <v>55.555555555555557</v>
      </c>
      <c r="AF1040" s="8">
        <f>8.33*AE1040</f>
        <v>462.77777777777777</v>
      </c>
      <c r="AG1040" s="1">
        <v>2</v>
      </c>
      <c r="AH1040" s="9">
        <v>2</v>
      </c>
      <c r="AI1040" s="8">
        <f>1/AH1040</f>
        <v>0.5</v>
      </c>
      <c r="AJ1040" s="8">
        <f>8.33*AI1040</f>
        <v>4.165</v>
      </c>
    </row>
    <row r="1041" spans="1:36" x14ac:dyDescent="0.2">
      <c r="A1041">
        <v>-109</v>
      </c>
      <c r="B1041" s="10" t="s">
        <v>94</v>
      </c>
      <c r="C1041" s="11" t="s">
        <v>39</v>
      </c>
      <c r="D1041" s="15" t="s">
        <v>2135</v>
      </c>
      <c r="E1041" s="13">
        <v>25</v>
      </c>
      <c r="F1041" s="13">
        <v>10</v>
      </c>
      <c r="G1041" s="13">
        <f t="shared" si="47"/>
        <v>273</v>
      </c>
      <c r="H1041" s="13">
        <v>110</v>
      </c>
      <c r="I1041" s="14">
        <f t="shared" si="48"/>
        <v>-109.18356164383562</v>
      </c>
      <c r="J1041" s="15" t="s">
        <v>2137</v>
      </c>
      <c r="P1041" t="s">
        <v>2138</v>
      </c>
      <c r="Q1041" s="17" t="s">
        <v>2138</v>
      </c>
      <c r="T1041" s="8"/>
    </row>
    <row r="1042" spans="1:36" x14ac:dyDescent="0.2">
      <c r="A1042">
        <v>-109</v>
      </c>
      <c r="B1042" s="10" t="s">
        <v>94</v>
      </c>
      <c r="C1042" s="11" t="s">
        <v>42</v>
      </c>
      <c r="D1042" s="15" t="s">
        <v>2139</v>
      </c>
      <c r="E1042" s="13">
        <v>4</v>
      </c>
      <c r="F1042" s="13">
        <v>11</v>
      </c>
      <c r="G1042" s="13">
        <f t="shared" si="47"/>
        <v>304</v>
      </c>
      <c r="H1042" s="13">
        <v>110</v>
      </c>
      <c r="I1042" s="14">
        <f t="shared" si="48"/>
        <v>-109.15616438356165</v>
      </c>
      <c r="J1042" s="15" t="s">
        <v>2140</v>
      </c>
      <c r="K1042" s="10" t="s">
        <v>1259</v>
      </c>
      <c r="P1042">
        <v>90</v>
      </c>
      <c r="Q1042" s="17">
        <v>90</v>
      </c>
      <c r="R1042" s="16">
        <f>1000/Q1042</f>
        <v>11.111111111111111</v>
      </c>
      <c r="S1042" s="16">
        <f>8.33*R1042</f>
        <v>92.555555555555557</v>
      </c>
      <c r="T1042" s="16">
        <f>S1042*1.33</f>
        <v>123.09888888888889</v>
      </c>
      <c r="Y1042" t="s">
        <v>2141</v>
      </c>
      <c r="Z1042" s="17" t="s">
        <v>2141</v>
      </c>
      <c r="AC1042" t="s">
        <v>2141</v>
      </c>
      <c r="AD1042" s="17" t="s">
        <v>2141</v>
      </c>
      <c r="AG1042" t="s">
        <v>133</v>
      </c>
      <c r="AH1042" s="17" t="s">
        <v>133</v>
      </c>
    </row>
    <row r="1043" spans="1:36" x14ac:dyDescent="0.2">
      <c r="A1043">
        <v>-109</v>
      </c>
      <c r="B1043" s="10" t="s">
        <v>94</v>
      </c>
      <c r="C1043" s="11" t="s">
        <v>45</v>
      </c>
      <c r="D1043" s="15" t="s">
        <v>2142</v>
      </c>
      <c r="E1043" s="13">
        <v>14</v>
      </c>
      <c r="F1043" s="13">
        <v>11</v>
      </c>
      <c r="G1043" s="13">
        <f t="shared" si="47"/>
        <v>304</v>
      </c>
      <c r="H1043" s="13">
        <v>110</v>
      </c>
      <c r="I1043" s="14">
        <f t="shared" si="48"/>
        <v>-109.12876712328767</v>
      </c>
      <c r="J1043" s="15" t="s">
        <v>2136</v>
      </c>
    </row>
    <row r="1044" spans="1:36" x14ac:dyDescent="0.2">
      <c r="A1044">
        <v>-108</v>
      </c>
      <c r="B1044" s="10" t="s">
        <v>60</v>
      </c>
      <c r="D1044" s="15" t="s">
        <v>2143</v>
      </c>
      <c r="E1044" s="13">
        <v>19</v>
      </c>
      <c r="F1044" s="13">
        <v>4</v>
      </c>
      <c r="G1044" s="13">
        <f t="shared" si="47"/>
        <v>90</v>
      </c>
      <c r="H1044" s="13">
        <v>109</v>
      </c>
      <c r="I1044" s="14">
        <f t="shared" si="48"/>
        <v>-108.7013698630137</v>
      </c>
      <c r="J1044" s="15" t="s">
        <v>2144</v>
      </c>
      <c r="U1044" s="1">
        <v>360</v>
      </c>
      <c r="V1044" s="9">
        <v>360</v>
      </c>
      <c r="W1044" s="8">
        <f>1000/V1044</f>
        <v>2.7777777777777777</v>
      </c>
      <c r="X1044" s="8">
        <f>8.33*W1044</f>
        <v>23.138888888888889</v>
      </c>
      <c r="Y1044" s="1">
        <v>48</v>
      </c>
      <c r="Z1044" s="9">
        <v>48</v>
      </c>
      <c r="AA1044" s="8">
        <f>1000/Z1044</f>
        <v>20.833333333333332</v>
      </c>
      <c r="AB1044" s="8">
        <f>8.33*AA1044</f>
        <v>173.54166666666666</v>
      </c>
      <c r="AC1044" s="1" t="s">
        <v>2145</v>
      </c>
    </row>
    <row r="1045" spans="1:36" x14ac:dyDescent="0.2">
      <c r="A1045">
        <v>-108</v>
      </c>
      <c r="B1045" s="10" t="s">
        <v>60</v>
      </c>
      <c r="C1045" s="11" t="s">
        <v>39</v>
      </c>
      <c r="D1045" s="15" t="s">
        <v>2143</v>
      </c>
      <c r="E1045" s="13">
        <v>19</v>
      </c>
      <c r="F1045" s="13">
        <v>4</v>
      </c>
      <c r="G1045" s="13">
        <f t="shared" si="47"/>
        <v>90</v>
      </c>
      <c r="H1045" s="13">
        <v>109</v>
      </c>
      <c r="I1045" s="14">
        <f t="shared" si="48"/>
        <v>-108.7013698630137</v>
      </c>
      <c r="J1045" s="15" t="s">
        <v>2146</v>
      </c>
      <c r="V1045" s="9"/>
      <c r="AD1045" s="9"/>
    </row>
    <row r="1046" spans="1:36" x14ac:dyDescent="0.2">
      <c r="A1046">
        <v>-108</v>
      </c>
      <c r="B1046" s="10" t="s">
        <v>60</v>
      </c>
      <c r="C1046" s="11" t="s">
        <v>1628</v>
      </c>
      <c r="D1046" s="7" t="s">
        <v>2143</v>
      </c>
      <c r="E1046" s="13">
        <v>19</v>
      </c>
      <c r="F1046" s="13">
        <v>4</v>
      </c>
      <c r="G1046" s="13">
        <f t="shared" si="47"/>
        <v>90</v>
      </c>
      <c r="H1046" s="13">
        <v>109</v>
      </c>
      <c r="I1046" s="14">
        <f t="shared" si="48"/>
        <v>-108.7013698630137</v>
      </c>
      <c r="J1046" s="7" t="s">
        <v>2147</v>
      </c>
      <c r="K1046" s="10">
        <v>120</v>
      </c>
      <c r="L1046" s="16">
        <v>120</v>
      </c>
      <c r="M1046" s="16">
        <f>1000/L1046</f>
        <v>8.3333333333333339</v>
      </c>
      <c r="N1046" s="16">
        <f>8.33*M1046</f>
        <v>69.416666666666671</v>
      </c>
      <c r="O1046" s="16">
        <f>1.613*N1046</f>
        <v>111.96908333333334</v>
      </c>
      <c r="U1046" s="1"/>
      <c r="V1046" s="9"/>
    </row>
    <row r="1047" spans="1:36" x14ac:dyDescent="0.2">
      <c r="A1047">
        <v>-108</v>
      </c>
      <c r="B1047" s="10" t="s">
        <v>60</v>
      </c>
      <c r="C1047" s="11" t="s">
        <v>42</v>
      </c>
      <c r="D1047" s="15" t="s">
        <v>2148</v>
      </c>
      <c r="E1047" s="13">
        <v>29</v>
      </c>
      <c r="F1047" s="13">
        <v>4</v>
      </c>
      <c r="G1047" s="13">
        <f t="shared" si="47"/>
        <v>90</v>
      </c>
      <c r="H1047" s="13">
        <v>109</v>
      </c>
      <c r="I1047" s="14">
        <f t="shared" si="48"/>
        <v>-108.67397260273972</v>
      </c>
      <c r="J1047" s="15" t="s">
        <v>2149</v>
      </c>
    </row>
    <row r="1048" spans="1:36" x14ac:dyDescent="0.2">
      <c r="A1048">
        <v>-108</v>
      </c>
      <c r="B1048" s="10" t="s">
        <v>60</v>
      </c>
      <c r="C1048" s="11" t="s">
        <v>45</v>
      </c>
      <c r="D1048" s="15" t="s">
        <v>2150</v>
      </c>
      <c r="E1048" s="13">
        <v>9</v>
      </c>
      <c r="F1048" s="13">
        <v>5</v>
      </c>
      <c r="G1048" s="13">
        <f t="shared" si="47"/>
        <v>120</v>
      </c>
      <c r="H1048" s="13">
        <v>109</v>
      </c>
      <c r="I1048" s="14">
        <f t="shared" si="48"/>
        <v>-108.64657534246575</v>
      </c>
      <c r="J1048" s="15" t="s">
        <v>2144</v>
      </c>
      <c r="K1048" s="10" t="s">
        <v>1259</v>
      </c>
      <c r="P1048">
        <v>64</v>
      </c>
      <c r="Q1048" s="17">
        <v>64</v>
      </c>
      <c r="R1048" s="16">
        <f>1000/Q1048</f>
        <v>15.625</v>
      </c>
      <c r="S1048" s="16">
        <f>8.33*R1048</f>
        <v>130.15625</v>
      </c>
      <c r="T1048" s="16">
        <f>S1048*1.33</f>
        <v>173.10781250000002</v>
      </c>
    </row>
    <row r="1049" spans="1:36" x14ac:dyDescent="0.2">
      <c r="A1049">
        <v>-108</v>
      </c>
      <c r="B1049" s="10" t="s">
        <v>47</v>
      </c>
      <c r="C1049" s="11" t="s">
        <v>39</v>
      </c>
      <c r="D1049" s="15" t="s">
        <v>2151</v>
      </c>
      <c r="E1049" s="13">
        <v>18</v>
      </c>
      <c r="F1049" s="13">
        <v>5</v>
      </c>
      <c r="G1049" s="13">
        <f t="shared" si="47"/>
        <v>120</v>
      </c>
      <c r="H1049" s="13">
        <v>109</v>
      </c>
      <c r="I1049" s="14">
        <f t="shared" si="48"/>
        <v>-108.62191780821918</v>
      </c>
      <c r="J1049" s="15" t="s">
        <v>2152</v>
      </c>
      <c r="K1049" s="10" t="s">
        <v>311</v>
      </c>
      <c r="T1049" s="8"/>
      <c r="AC1049" t="s">
        <v>2153</v>
      </c>
      <c r="AD1049" s="20">
        <v>25</v>
      </c>
      <c r="AE1049" s="19">
        <f>1000/AD1049</f>
        <v>40</v>
      </c>
      <c r="AF1049" s="19">
        <f>8.33*AE1049</f>
        <v>333.2</v>
      </c>
      <c r="AG1049" s="1">
        <v>2</v>
      </c>
      <c r="AH1049" s="9">
        <v>2</v>
      </c>
      <c r="AI1049" s="8">
        <f>1/AH1049</f>
        <v>0.5</v>
      </c>
      <c r="AJ1049" s="8">
        <f>8.33*AI1049</f>
        <v>4.165</v>
      </c>
    </row>
    <row r="1050" spans="1:36" x14ac:dyDescent="0.2">
      <c r="A1050">
        <v>-108</v>
      </c>
      <c r="B1050" s="10" t="s">
        <v>47</v>
      </c>
      <c r="C1050" s="11" t="s">
        <v>42</v>
      </c>
      <c r="D1050" s="15" t="s">
        <v>2154</v>
      </c>
      <c r="E1050" s="13">
        <v>28</v>
      </c>
      <c r="F1050" s="13">
        <v>5</v>
      </c>
      <c r="G1050" s="13">
        <f t="shared" si="47"/>
        <v>120</v>
      </c>
      <c r="H1050" s="13">
        <v>109</v>
      </c>
      <c r="I1050" s="14">
        <f t="shared" si="48"/>
        <v>-108.59452054794521</v>
      </c>
      <c r="J1050" s="15" t="s">
        <v>2155</v>
      </c>
      <c r="T1050" s="8"/>
      <c r="AG1050" s="1"/>
      <c r="AH1050" s="9"/>
    </row>
    <row r="1051" spans="1:36" x14ac:dyDescent="0.2">
      <c r="A1051">
        <v>-108</v>
      </c>
      <c r="B1051" s="10" t="s">
        <v>47</v>
      </c>
      <c r="C1051" s="11" t="s">
        <v>45</v>
      </c>
      <c r="D1051" s="15" t="s">
        <v>2156</v>
      </c>
      <c r="E1051" s="13">
        <v>7</v>
      </c>
      <c r="F1051" s="13">
        <v>6</v>
      </c>
      <c r="G1051" s="13">
        <f t="shared" si="47"/>
        <v>151</v>
      </c>
      <c r="H1051" s="13">
        <v>109</v>
      </c>
      <c r="I1051" s="14">
        <f t="shared" si="48"/>
        <v>-108.56712328767124</v>
      </c>
      <c r="J1051" s="15" t="s">
        <v>2157</v>
      </c>
      <c r="T1051" s="8"/>
      <c r="AG1051" s="1"/>
      <c r="AH1051" s="9"/>
    </row>
    <row r="1052" spans="1:36" x14ac:dyDescent="0.2">
      <c r="A1052">
        <v>-108</v>
      </c>
      <c r="B1052" s="10" t="s">
        <v>130</v>
      </c>
      <c r="D1052" s="15" t="s">
        <v>2158</v>
      </c>
      <c r="E1052" s="13">
        <v>16</v>
      </c>
      <c r="F1052" s="13">
        <v>7</v>
      </c>
      <c r="G1052" s="13">
        <f t="shared" si="47"/>
        <v>181</v>
      </c>
      <c r="H1052" s="13">
        <v>109</v>
      </c>
      <c r="I1052" s="14">
        <f t="shared" si="48"/>
        <v>-108.46027397260274</v>
      </c>
      <c r="J1052" s="15" t="s">
        <v>2159</v>
      </c>
      <c r="P1052" s="1">
        <v>66</v>
      </c>
      <c r="Q1052" s="9">
        <v>66</v>
      </c>
      <c r="R1052" s="8">
        <f>1000/Q1052</f>
        <v>15.151515151515152</v>
      </c>
      <c r="S1052" s="8">
        <f>8.33*R1052</f>
        <v>126.21212121212122</v>
      </c>
      <c r="T1052" s="8">
        <f>S1052*1.33</f>
        <v>167.86212121212122</v>
      </c>
      <c r="U1052" s="1">
        <v>270</v>
      </c>
      <c r="V1052" s="9">
        <v>270</v>
      </c>
      <c r="W1052" s="8">
        <f>1000/V1052</f>
        <v>3.7037037037037037</v>
      </c>
      <c r="X1052" s="8">
        <f>8.33*W1052</f>
        <v>30.851851851851851</v>
      </c>
      <c r="AG1052" s="1"/>
      <c r="AH1052" s="9"/>
    </row>
    <row r="1053" spans="1:36" x14ac:dyDescent="0.2">
      <c r="A1053">
        <v>-108</v>
      </c>
      <c r="B1053" s="10" t="s">
        <v>130</v>
      </c>
      <c r="C1053" s="11" t="s">
        <v>39</v>
      </c>
      <c r="D1053" s="15" t="s">
        <v>2158</v>
      </c>
      <c r="E1053" s="13">
        <v>16</v>
      </c>
      <c r="F1053" s="13">
        <v>7</v>
      </c>
      <c r="G1053" s="13">
        <f t="shared" si="47"/>
        <v>181</v>
      </c>
      <c r="H1053" s="13">
        <v>109</v>
      </c>
      <c r="I1053" s="14">
        <f t="shared" si="48"/>
        <v>-108.46027397260274</v>
      </c>
      <c r="J1053" s="15" t="s">
        <v>2160</v>
      </c>
      <c r="T1053" s="8"/>
      <c r="Y1053" t="s">
        <v>41</v>
      </c>
    </row>
    <row r="1054" spans="1:36" x14ac:dyDescent="0.2">
      <c r="A1054">
        <v>-108</v>
      </c>
      <c r="B1054" s="10" t="s">
        <v>130</v>
      </c>
      <c r="C1054" s="11" t="s">
        <v>42</v>
      </c>
      <c r="D1054" s="15" t="s">
        <v>2161</v>
      </c>
      <c r="E1054" s="13">
        <v>26</v>
      </c>
      <c r="F1054" s="13">
        <v>7</v>
      </c>
      <c r="G1054" s="13">
        <f t="shared" si="47"/>
        <v>181</v>
      </c>
      <c r="H1054" s="13">
        <v>109</v>
      </c>
      <c r="I1054" s="14">
        <f t="shared" si="48"/>
        <v>-108.43287671232876</v>
      </c>
      <c r="J1054" s="15" t="s">
        <v>2162</v>
      </c>
      <c r="T1054" s="8"/>
    </row>
    <row r="1055" spans="1:36" x14ac:dyDescent="0.2">
      <c r="A1055">
        <v>-108</v>
      </c>
      <c r="B1055" s="10" t="s">
        <v>1827</v>
      </c>
      <c r="C1055" s="11" t="s">
        <v>45</v>
      </c>
      <c r="D1055" s="15" t="s">
        <v>2163</v>
      </c>
      <c r="E1055" s="13">
        <v>5</v>
      </c>
      <c r="F1055" s="13">
        <v>8</v>
      </c>
      <c r="G1055" s="13">
        <f t="shared" si="47"/>
        <v>212</v>
      </c>
      <c r="H1055" s="13">
        <v>109</v>
      </c>
      <c r="I1055" s="14">
        <f t="shared" si="48"/>
        <v>-108.40547945205479</v>
      </c>
      <c r="J1055" s="15" t="s">
        <v>2159</v>
      </c>
      <c r="K1055" s="10">
        <v>102</v>
      </c>
      <c r="L1055" s="16">
        <v>102</v>
      </c>
      <c r="M1055" s="16">
        <f>1000/L1055</f>
        <v>9.8039215686274517</v>
      </c>
      <c r="N1055" s="16">
        <f>8.33*M1055</f>
        <v>81.666666666666671</v>
      </c>
      <c r="O1055" s="16">
        <f>1.613*N1055</f>
        <v>131.72833333333335</v>
      </c>
      <c r="T1055" s="8"/>
    </row>
    <row r="1056" spans="1:36" x14ac:dyDescent="0.2">
      <c r="A1056">
        <v>-108</v>
      </c>
      <c r="B1056" s="10" t="s">
        <v>72</v>
      </c>
      <c r="D1056" s="15" t="s">
        <v>2164</v>
      </c>
      <c r="E1056" s="13">
        <v>13</v>
      </c>
      <c r="F1056" s="13">
        <v>9</v>
      </c>
      <c r="G1056" s="13">
        <f t="shared" si="47"/>
        <v>243</v>
      </c>
      <c r="H1056" s="13">
        <v>109</v>
      </c>
      <c r="I1056" s="14">
        <f t="shared" si="48"/>
        <v>-108.2986301369863</v>
      </c>
      <c r="J1056" s="15" t="s">
        <v>2165</v>
      </c>
      <c r="K1056" s="23" t="s">
        <v>2166</v>
      </c>
      <c r="T1056" s="8"/>
    </row>
    <row r="1057" spans="1:36" x14ac:dyDescent="0.2">
      <c r="A1057">
        <v>-108</v>
      </c>
      <c r="B1057" s="10" t="s">
        <v>91</v>
      </c>
      <c r="D1057" s="15" t="s">
        <v>2167</v>
      </c>
      <c r="E1057" s="13">
        <v>13</v>
      </c>
      <c r="F1057" s="13">
        <v>10</v>
      </c>
      <c r="G1057" s="13">
        <f t="shared" si="47"/>
        <v>273</v>
      </c>
      <c r="H1057" s="13">
        <v>109</v>
      </c>
      <c r="I1057" s="14">
        <f t="shared" si="48"/>
        <v>-108.21643835616439</v>
      </c>
      <c r="J1057" s="15" t="s">
        <v>2168</v>
      </c>
      <c r="T1057" s="8"/>
      <c r="Y1057" s="1">
        <v>36</v>
      </c>
      <c r="Z1057" s="9">
        <v>36</v>
      </c>
      <c r="AA1057" s="8">
        <f>1000/Z1057</f>
        <v>27.777777777777779</v>
      </c>
      <c r="AB1057" s="8">
        <f>8.33*AA1057</f>
        <v>231.38888888888889</v>
      </c>
    </row>
    <row r="1058" spans="1:36" x14ac:dyDescent="0.2">
      <c r="A1058">
        <v>-108</v>
      </c>
      <c r="B1058" s="10" t="s">
        <v>91</v>
      </c>
      <c r="C1058" s="11" t="s">
        <v>39</v>
      </c>
      <c r="D1058" s="15" t="s">
        <v>2167</v>
      </c>
      <c r="E1058" s="13">
        <v>13</v>
      </c>
      <c r="F1058" s="13">
        <v>10</v>
      </c>
      <c r="G1058" s="13">
        <f t="shared" si="47"/>
        <v>273</v>
      </c>
      <c r="H1058" s="13">
        <v>109</v>
      </c>
      <c r="I1058" s="14">
        <f t="shared" si="48"/>
        <v>-108.21643835616439</v>
      </c>
      <c r="J1058" s="15" t="s">
        <v>2169</v>
      </c>
      <c r="K1058" s="10" t="s">
        <v>41</v>
      </c>
      <c r="T1058" s="8"/>
      <c r="Y1058" s="1"/>
      <c r="Z1058" s="9"/>
      <c r="AA1058" s="8"/>
      <c r="AB1058" s="8"/>
      <c r="AC1058">
        <v>22.5</v>
      </c>
      <c r="AD1058" s="17">
        <v>22.5</v>
      </c>
      <c r="AE1058" s="16">
        <f>1000/AD1058</f>
        <v>44.444444444444443</v>
      </c>
      <c r="AF1058" s="16">
        <f>8.33*AE1058</f>
        <v>370.22222222222223</v>
      </c>
    </row>
    <row r="1059" spans="1:36" x14ac:dyDescent="0.2">
      <c r="A1059">
        <v>-108</v>
      </c>
      <c r="B1059" s="10" t="s">
        <v>91</v>
      </c>
      <c r="C1059" s="11" t="s">
        <v>42</v>
      </c>
      <c r="D1059" s="15" t="s">
        <v>2170</v>
      </c>
      <c r="E1059" s="13">
        <v>23</v>
      </c>
      <c r="F1059" s="13">
        <v>10</v>
      </c>
      <c r="G1059" s="13">
        <f t="shared" si="47"/>
        <v>273</v>
      </c>
      <c r="H1059" s="13">
        <v>109</v>
      </c>
      <c r="I1059" s="14">
        <f t="shared" si="48"/>
        <v>-108.18904109589042</v>
      </c>
      <c r="J1059" s="15" t="s">
        <v>2171</v>
      </c>
      <c r="T1059" s="8"/>
      <c r="Y1059" s="1"/>
      <c r="Z1059" s="9"/>
      <c r="AA1059" s="8"/>
      <c r="AB1059" s="8"/>
      <c r="AC1059" t="s">
        <v>41</v>
      </c>
    </row>
    <row r="1060" spans="1:36" x14ac:dyDescent="0.2">
      <c r="A1060">
        <v>-108</v>
      </c>
      <c r="B1060" s="10" t="s">
        <v>91</v>
      </c>
      <c r="C1060" s="11" t="s">
        <v>45</v>
      </c>
      <c r="D1060" s="15" t="s">
        <v>2172</v>
      </c>
      <c r="E1060" s="13">
        <v>2</v>
      </c>
      <c r="F1060" s="13">
        <v>11</v>
      </c>
      <c r="G1060" s="13">
        <f t="shared" si="47"/>
        <v>304</v>
      </c>
      <c r="H1060" s="13">
        <v>109</v>
      </c>
      <c r="I1060" s="14">
        <f t="shared" si="48"/>
        <v>-108.16164383561645</v>
      </c>
      <c r="J1060" s="15" t="s">
        <v>2168</v>
      </c>
      <c r="T1060" s="8"/>
      <c r="Y1060" s="1"/>
      <c r="Z1060" s="9"/>
      <c r="AA1060" s="8"/>
      <c r="AB1060" s="8"/>
    </row>
    <row r="1061" spans="1:36" x14ac:dyDescent="0.2">
      <c r="A1061">
        <v>-107</v>
      </c>
      <c r="B1061" s="10" t="s">
        <v>130</v>
      </c>
      <c r="D1061" s="15" t="s">
        <v>2173</v>
      </c>
      <c r="E1061" s="13">
        <v>5</v>
      </c>
      <c r="F1061" s="13">
        <v>7</v>
      </c>
      <c r="G1061" s="13">
        <f t="shared" si="47"/>
        <v>181</v>
      </c>
      <c r="H1061" s="13">
        <v>108</v>
      </c>
      <c r="I1061" s="14">
        <f t="shared" si="48"/>
        <v>-107.49041095890411</v>
      </c>
      <c r="J1061" s="15" t="s">
        <v>2174</v>
      </c>
      <c r="T1061" s="8"/>
      <c r="Y1061" s="1">
        <v>36</v>
      </c>
      <c r="Z1061" s="9">
        <v>36</v>
      </c>
      <c r="AA1061" s="8">
        <f>1000/Z1061</f>
        <v>27.777777777777779</v>
      </c>
      <c r="AB1061" s="8">
        <f>8.33*AA1061</f>
        <v>231.38888888888889</v>
      </c>
      <c r="AC1061" s="1">
        <v>21.25</v>
      </c>
      <c r="AD1061" s="9">
        <v>21.25</v>
      </c>
      <c r="AE1061" s="8">
        <f>1000/AD1061</f>
        <v>47.058823529411768</v>
      </c>
      <c r="AF1061" s="8">
        <f>8.33*AE1061</f>
        <v>392.00000000000006</v>
      </c>
    </row>
    <row r="1062" spans="1:36" x14ac:dyDescent="0.2">
      <c r="A1062">
        <v>-107</v>
      </c>
      <c r="B1062" s="10" t="s">
        <v>130</v>
      </c>
      <c r="C1062" s="11" t="s">
        <v>39</v>
      </c>
      <c r="D1062" s="15" t="s">
        <v>2173</v>
      </c>
      <c r="E1062" s="13">
        <v>5</v>
      </c>
      <c r="F1062" s="13">
        <v>7</v>
      </c>
      <c r="G1062" s="13">
        <f t="shared" si="47"/>
        <v>181</v>
      </c>
      <c r="H1062" s="13">
        <v>108</v>
      </c>
      <c r="I1062" s="14">
        <f t="shared" si="48"/>
        <v>-107.49041095890411</v>
      </c>
      <c r="J1062" s="15" t="s">
        <v>2175</v>
      </c>
      <c r="T1062" s="8"/>
      <c r="Y1062" s="1"/>
      <c r="Z1062" s="9"/>
    </row>
    <row r="1063" spans="1:36" x14ac:dyDescent="0.2">
      <c r="A1063">
        <v>-107</v>
      </c>
      <c r="B1063" s="10" t="s">
        <v>130</v>
      </c>
      <c r="C1063" s="11" t="s">
        <v>2176</v>
      </c>
      <c r="D1063" s="7" t="s">
        <v>2173</v>
      </c>
      <c r="E1063" s="13">
        <v>5</v>
      </c>
      <c r="F1063" s="13">
        <v>7</v>
      </c>
      <c r="G1063" s="13">
        <f t="shared" si="47"/>
        <v>181</v>
      </c>
      <c r="H1063" s="13">
        <v>108</v>
      </c>
      <c r="I1063" s="14">
        <f t="shared" si="48"/>
        <v>-107.49041095890411</v>
      </c>
      <c r="J1063" s="7" t="s">
        <v>2177</v>
      </c>
      <c r="K1063" s="10">
        <v>72</v>
      </c>
      <c r="L1063" s="16">
        <v>72</v>
      </c>
      <c r="M1063" s="16">
        <f>1000/L1063</f>
        <v>13.888888888888889</v>
      </c>
      <c r="N1063" s="16">
        <f>8.33*M1063</f>
        <v>115.69444444444444</v>
      </c>
      <c r="O1063" s="16">
        <f>1.613*N1063</f>
        <v>186.61513888888888</v>
      </c>
      <c r="T1063" s="8"/>
    </row>
    <row r="1064" spans="1:36" x14ac:dyDescent="0.2">
      <c r="A1064">
        <v>-107</v>
      </c>
      <c r="B1064" s="10" t="s">
        <v>130</v>
      </c>
      <c r="C1064" s="11" t="s">
        <v>42</v>
      </c>
      <c r="D1064" s="26" t="s">
        <v>2177</v>
      </c>
      <c r="E1064" s="13">
        <v>15</v>
      </c>
      <c r="F1064" s="13">
        <v>7</v>
      </c>
      <c r="G1064" s="13">
        <f t="shared" si="47"/>
        <v>181</v>
      </c>
      <c r="H1064" s="13">
        <v>108</v>
      </c>
      <c r="I1064" s="14">
        <f t="shared" si="48"/>
        <v>-107.46301369863014</v>
      </c>
      <c r="J1064" s="26" t="s">
        <v>2178</v>
      </c>
      <c r="T1064" s="8"/>
      <c r="Y1064" s="1"/>
      <c r="Z1064" s="9"/>
      <c r="AC1064" s="1"/>
      <c r="AD1064" s="9"/>
    </row>
    <row r="1065" spans="1:36" x14ac:dyDescent="0.2">
      <c r="A1065">
        <v>-107</v>
      </c>
      <c r="B1065" s="10" t="s">
        <v>130</v>
      </c>
      <c r="C1065" s="11" t="s">
        <v>2179</v>
      </c>
      <c r="D1065" s="7" t="s">
        <v>2180</v>
      </c>
      <c r="E1065" s="13">
        <v>16</v>
      </c>
      <c r="F1065" s="13">
        <v>7</v>
      </c>
      <c r="G1065" s="13">
        <f t="shared" si="47"/>
        <v>181</v>
      </c>
      <c r="H1065" s="13">
        <v>108</v>
      </c>
      <c r="I1065" s="14">
        <f t="shared" si="48"/>
        <v>-107.46027397260274</v>
      </c>
      <c r="J1065" s="7" t="s">
        <v>2181</v>
      </c>
      <c r="K1065" s="10" t="s">
        <v>136</v>
      </c>
      <c r="L1065" s="19">
        <v>60</v>
      </c>
      <c r="M1065" s="19">
        <f>1000/L1065</f>
        <v>16.666666666666668</v>
      </c>
      <c r="N1065" s="19">
        <f>8.33*M1065</f>
        <v>138.83333333333334</v>
      </c>
      <c r="O1065" s="19">
        <f>1.613*N1065</f>
        <v>223.93816666666669</v>
      </c>
      <c r="T1065" s="8"/>
    </row>
    <row r="1066" spans="1:36" x14ac:dyDescent="0.2">
      <c r="A1066">
        <v>-107</v>
      </c>
      <c r="B1066" s="10" t="s">
        <v>130</v>
      </c>
      <c r="C1066" s="11" t="s">
        <v>45</v>
      </c>
      <c r="D1066" s="15" t="s">
        <v>2182</v>
      </c>
      <c r="E1066" s="13">
        <v>25</v>
      </c>
      <c r="F1066" s="13">
        <v>7</v>
      </c>
      <c r="G1066" s="13">
        <f t="shared" si="47"/>
        <v>181</v>
      </c>
      <c r="H1066" s="13">
        <v>108</v>
      </c>
      <c r="I1066" s="14">
        <f t="shared" si="48"/>
        <v>-107.43561643835616</v>
      </c>
      <c r="J1066" s="15" t="s">
        <v>2174</v>
      </c>
      <c r="T1066" s="8"/>
    </row>
    <row r="1067" spans="1:36" x14ac:dyDescent="0.2">
      <c r="A1067">
        <v>-107</v>
      </c>
      <c r="B1067" s="10" t="s">
        <v>72</v>
      </c>
      <c r="D1067" s="15" t="s">
        <v>2183</v>
      </c>
      <c r="E1067" s="13">
        <v>2</v>
      </c>
      <c r="F1067" s="13">
        <v>9</v>
      </c>
      <c r="G1067" s="13">
        <f t="shared" si="47"/>
        <v>243</v>
      </c>
      <c r="H1067" s="13">
        <v>108</v>
      </c>
      <c r="I1067" s="14">
        <f t="shared" si="48"/>
        <v>-107.32876712328768</v>
      </c>
      <c r="J1067" s="15" t="s">
        <v>2184</v>
      </c>
      <c r="T1067" s="8"/>
      <c r="AG1067" s="1">
        <v>2</v>
      </c>
      <c r="AH1067" s="9">
        <v>2</v>
      </c>
      <c r="AI1067" s="8">
        <f>1/AH1067</f>
        <v>0.5</v>
      </c>
      <c r="AJ1067" s="8">
        <f>8.33*AI1067</f>
        <v>4.165</v>
      </c>
    </row>
    <row r="1068" spans="1:36" x14ac:dyDescent="0.2">
      <c r="A1068">
        <v>-107</v>
      </c>
      <c r="B1068" s="10" t="s">
        <v>91</v>
      </c>
      <c r="D1068" s="15" t="s">
        <v>2185</v>
      </c>
      <c r="E1068" s="13">
        <v>2</v>
      </c>
      <c r="F1068" s="13">
        <v>10</v>
      </c>
      <c r="G1068" s="13">
        <f t="shared" si="47"/>
        <v>273</v>
      </c>
      <c r="H1068" s="13">
        <v>108</v>
      </c>
      <c r="I1068" s="14">
        <f t="shared" si="48"/>
        <v>-107.24657534246575</v>
      </c>
      <c r="J1068" s="15" t="s">
        <v>2186</v>
      </c>
      <c r="P1068" s="1">
        <v>82.5</v>
      </c>
      <c r="Q1068" s="9">
        <v>82.5</v>
      </c>
      <c r="R1068" s="8">
        <f>1000/Q1068</f>
        <v>12.121212121212121</v>
      </c>
      <c r="S1068" s="8">
        <f>8.33*R1068</f>
        <v>100.96969696969697</v>
      </c>
      <c r="T1068" s="8">
        <f>S1068*1.33</f>
        <v>134.28969696969696</v>
      </c>
      <c r="AG1068" s="1">
        <v>2</v>
      </c>
      <c r="AH1068" s="9">
        <v>2</v>
      </c>
      <c r="AI1068" s="8">
        <f>1/AH1068</f>
        <v>0.5</v>
      </c>
      <c r="AJ1068" s="8">
        <f>8.33*AI1068</f>
        <v>4.165</v>
      </c>
    </row>
    <row r="1069" spans="1:36" x14ac:dyDescent="0.2">
      <c r="A1069">
        <v>-107</v>
      </c>
      <c r="B1069" s="10" t="s">
        <v>91</v>
      </c>
      <c r="C1069" s="11" t="s">
        <v>39</v>
      </c>
      <c r="D1069" s="15" t="s">
        <v>2185</v>
      </c>
      <c r="E1069" s="13">
        <v>2</v>
      </c>
      <c r="F1069" s="13">
        <v>10</v>
      </c>
      <c r="G1069" s="13">
        <f t="shared" si="47"/>
        <v>273</v>
      </c>
      <c r="H1069" s="13">
        <v>108</v>
      </c>
      <c r="I1069" s="14">
        <f t="shared" si="48"/>
        <v>-107.24657534246575</v>
      </c>
      <c r="J1069" s="15" t="s">
        <v>2187</v>
      </c>
      <c r="K1069" s="10">
        <v>54</v>
      </c>
      <c r="L1069" s="16">
        <v>54</v>
      </c>
      <c r="M1069" s="16">
        <f>1000/L1069</f>
        <v>18.518518518518519</v>
      </c>
      <c r="N1069" s="16">
        <f>8.33*M1069</f>
        <v>154.25925925925927</v>
      </c>
      <c r="O1069" s="16">
        <f>1.613*N1069</f>
        <v>248.82018518518518</v>
      </c>
      <c r="T1069" s="8"/>
    </row>
    <row r="1070" spans="1:36" x14ac:dyDescent="0.2">
      <c r="A1070">
        <v>-107</v>
      </c>
      <c r="B1070" s="10" t="s">
        <v>91</v>
      </c>
      <c r="C1070" s="11" t="s">
        <v>42</v>
      </c>
      <c r="D1070" s="15" t="s">
        <v>2188</v>
      </c>
      <c r="E1070" s="13">
        <v>12</v>
      </c>
      <c r="F1070" s="13">
        <v>10</v>
      </c>
      <c r="G1070" s="13">
        <f t="shared" si="47"/>
        <v>273</v>
      </c>
      <c r="H1070" s="13">
        <v>108</v>
      </c>
      <c r="I1070" s="14">
        <f t="shared" si="48"/>
        <v>-107.21917808219177</v>
      </c>
      <c r="J1070" s="15" t="s">
        <v>2189</v>
      </c>
      <c r="P1070" s="1"/>
      <c r="Q1070" s="9"/>
      <c r="T1070" s="8"/>
      <c r="AG1070" s="1"/>
      <c r="AH1070" s="9"/>
    </row>
    <row r="1071" spans="1:36" x14ac:dyDescent="0.2">
      <c r="A1071">
        <v>-107</v>
      </c>
      <c r="B1071" s="10" t="s">
        <v>91</v>
      </c>
      <c r="C1071" s="11" t="s">
        <v>2190</v>
      </c>
      <c r="D1071" s="7" t="s">
        <v>2191</v>
      </c>
      <c r="E1071" s="13">
        <v>18</v>
      </c>
      <c r="F1071" s="13">
        <v>10</v>
      </c>
      <c r="G1071" s="13">
        <f t="shared" si="47"/>
        <v>273</v>
      </c>
      <c r="H1071" s="13">
        <v>108</v>
      </c>
      <c r="I1071" s="14">
        <f t="shared" si="48"/>
        <v>-107.2027397260274</v>
      </c>
      <c r="K1071" s="10">
        <v>51</v>
      </c>
      <c r="L1071" s="16">
        <v>51</v>
      </c>
      <c r="M1071" s="16">
        <f>1000/L1071</f>
        <v>19.607843137254903</v>
      </c>
      <c r="N1071" s="16">
        <f>8.33*M1071</f>
        <v>163.33333333333334</v>
      </c>
      <c r="O1071" s="16">
        <f>1.613*N1071</f>
        <v>263.45666666666671</v>
      </c>
      <c r="T1071" s="8"/>
      <c r="AG1071" s="1"/>
      <c r="AH1071" s="9"/>
    </row>
    <row r="1072" spans="1:36" x14ac:dyDescent="0.2">
      <c r="A1072">
        <v>-107</v>
      </c>
      <c r="B1072" s="10" t="s">
        <v>91</v>
      </c>
      <c r="C1072" s="11" t="s">
        <v>2192</v>
      </c>
      <c r="D1072" s="25" t="s">
        <v>2193</v>
      </c>
      <c r="E1072" s="13">
        <v>26</v>
      </c>
      <c r="F1072" s="13">
        <v>10</v>
      </c>
      <c r="G1072" s="13">
        <f t="shared" si="47"/>
        <v>273</v>
      </c>
      <c r="H1072" s="13">
        <v>108</v>
      </c>
      <c r="I1072" s="14">
        <f t="shared" si="48"/>
        <v>-107.18082191780822</v>
      </c>
      <c r="J1072" s="7" t="s">
        <v>2194</v>
      </c>
      <c r="T1072" s="8"/>
      <c r="AC1072">
        <v>16.5</v>
      </c>
      <c r="AD1072" s="17">
        <v>16.5</v>
      </c>
      <c r="AE1072" s="16">
        <f>1000/AD1072</f>
        <v>60.606060606060609</v>
      </c>
      <c r="AF1072" s="16">
        <f>8.33*AE1072</f>
        <v>504.84848484848487</v>
      </c>
      <c r="AG1072" s="1"/>
      <c r="AH1072" s="9"/>
    </row>
    <row r="1073" spans="1:29" x14ac:dyDescent="0.2">
      <c r="A1073">
        <v>-107</v>
      </c>
      <c r="B1073" s="10" t="s">
        <v>91</v>
      </c>
      <c r="C1073" s="11" t="s">
        <v>45</v>
      </c>
      <c r="D1073" s="15" t="s">
        <v>2195</v>
      </c>
      <c r="E1073" s="13">
        <v>22</v>
      </c>
      <c r="F1073" s="13">
        <v>10</v>
      </c>
      <c r="G1073" s="13">
        <f t="shared" si="47"/>
        <v>273</v>
      </c>
      <c r="H1073" s="13">
        <v>108</v>
      </c>
      <c r="I1073" s="14">
        <f t="shared" si="48"/>
        <v>-107.1917808219178</v>
      </c>
      <c r="J1073" s="15" t="s">
        <v>2186</v>
      </c>
      <c r="K1073" s="10" t="s">
        <v>41</v>
      </c>
      <c r="T1073" s="8"/>
      <c r="AC1073" t="s">
        <v>41</v>
      </c>
    </row>
    <row r="1074" spans="1:29" x14ac:dyDescent="0.2">
      <c r="A1074">
        <v>-107</v>
      </c>
      <c r="B1074" s="10" t="s">
        <v>94</v>
      </c>
      <c r="D1074" s="15" t="s">
        <v>2196</v>
      </c>
      <c r="E1074" s="13">
        <v>31</v>
      </c>
      <c r="F1074" s="13">
        <v>10</v>
      </c>
      <c r="G1074" s="13">
        <f t="shared" si="47"/>
        <v>273</v>
      </c>
      <c r="H1074" s="13">
        <v>108</v>
      </c>
      <c r="I1074" s="14">
        <f t="shared" si="48"/>
        <v>-107.16712328767123</v>
      </c>
      <c r="J1074" s="15" t="s">
        <v>2197</v>
      </c>
      <c r="T1074" s="8"/>
      <c r="U1074" s="1" t="s">
        <v>926</v>
      </c>
      <c r="V1074" s="21">
        <v>360</v>
      </c>
      <c r="W1074" s="22">
        <f>1000/V1074</f>
        <v>2.7777777777777777</v>
      </c>
      <c r="X1074" s="22">
        <f>8.33*W1074</f>
        <v>23.138888888888889</v>
      </c>
    </row>
    <row r="1075" spans="1:29" x14ac:dyDescent="0.2">
      <c r="A1075">
        <v>-107</v>
      </c>
      <c r="B1075" s="10" t="s">
        <v>94</v>
      </c>
      <c r="C1075" s="11" t="s">
        <v>39</v>
      </c>
      <c r="D1075" s="15" t="s">
        <v>2196</v>
      </c>
      <c r="E1075" s="13">
        <v>31</v>
      </c>
      <c r="F1075" s="13">
        <v>10</v>
      </c>
      <c r="G1075" s="13">
        <f t="shared" si="47"/>
        <v>273</v>
      </c>
      <c r="H1075" s="13">
        <v>108</v>
      </c>
      <c r="I1075" s="14">
        <f t="shared" si="48"/>
        <v>-107.16712328767123</v>
      </c>
      <c r="J1075" s="15" t="s">
        <v>2198</v>
      </c>
      <c r="T1075" s="8"/>
    </row>
    <row r="1076" spans="1:29" x14ac:dyDescent="0.2">
      <c r="A1076">
        <v>-107</v>
      </c>
      <c r="B1076" s="10" t="s">
        <v>94</v>
      </c>
      <c r="C1076" s="11" t="s">
        <v>42</v>
      </c>
      <c r="D1076" s="15" t="s">
        <v>2199</v>
      </c>
      <c r="E1076" s="13">
        <v>10</v>
      </c>
      <c r="F1076" s="13">
        <v>11</v>
      </c>
      <c r="G1076" s="13">
        <f t="shared" si="47"/>
        <v>304</v>
      </c>
      <c r="H1076" s="13">
        <v>108</v>
      </c>
      <c r="I1076" s="14">
        <f t="shared" si="48"/>
        <v>-107.13972602739726</v>
      </c>
      <c r="J1076" s="15" t="s">
        <v>2200</v>
      </c>
      <c r="T1076" s="8"/>
      <c r="U1076" s="1"/>
      <c r="V1076" s="9"/>
    </row>
    <row r="1077" spans="1:29" x14ac:dyDescent="0.2">
      <c r="A1077">
        <v>-107</v>
      </c>
      <c r="B1077" s="10" t="s">
        <v>94</v>
      </c>
      <c r="C1077" s="11" t="s">
        <v>45</v>
      </c>
      <c r="D1077" s="15" t="s">
        <v>2201</v>
      </c>
      <c r="E1077" s="13">
        <v>20</v>
      </c>
      <c r="F1077" s="13">
        <v>11</v>
      </c>
      <c r="G1077" s="13">
        <f t="shared" si="47"/>
        <v>304</v>
      </c>
      <c r="H1077" s="13">
        <v>108</v>
      </c>
      <c r="I1077" s="14">
        <f t="shared" si="48"/>
        <v>-107.11232876712329</v>
      </c>
      <c r="J1077" s="15" t="s">
        <v>2197</v>
      </c>
      <c r="T1077" s="8"/>
      <c r="U1077" s="1"/>
      <c r="V1077" s="9"/>
    </row>
    <row r="1078" spans="1:29" x14ac:dyDescent="0.2">
      <c r="A1078">
        <v>-107</v>
      </c>
      <c r="B1078" s="10" t="s">
        <v>94</v>
      </c>
      <c r="C1078" s="11" t="s">
        <v>2202</v>
      </c>
      <c r="D1078" s="25" t="s">
        <v>2203</v>
      </c>
      <c r="E1078" s="13">
        <v>25</v>
      </c>
      <c r="F1078" s="13">
        <v>11</v>
      </c>
      <c r="G1078" s="13">
        <f t="shared" si="47"/>
        <v>304</v>
      </c>
      <c r="H1078" s="13">
        <v>108</v>
      </c>
      <c r="I1078" s="14">
        <f t="shared" si="48"/>
        <v>-107.0986301369863</v>
      </c>
      <c r="J1078" s="7" t="s">
        <v>2204</v>
      </c>
      <c r="P1078" t="s">
        <v>2205</v>
      </c>
      <c r="Q1078" s="20">
        <v>96</v>
      </c>
      <c r="R1078" s="19">
        <f>1000/Q1078</f>
        <v>10.416666666666666</v>
      </c>
      <c r="S1078" s="19">
        <f>8.33*R1078</f>
        <v>86.770833333333329</v>
      </c>
      <c r="T1078" s="16">
        <f>S1078*1.33</f>
        <v>115.40520833333333</v>
      </c>
      <c r="U1078" s="1"/>
      <c r="V1078" s="9"/>
    </row>
    <row r="1079" spans="1:29" x14ac:dyDescent="0.2">
      <c r="A1079">
        <v>-107</v>
      </c>
      <c r="B1079" s="10" t="s">
        <v>94</v>
      </c>
      <c r="C1079" s="11" t="s">
        <v>2206</v>
      </c>
      <c r="D1079" s="7" t="s">
        <v>2207</v>
      </c>
      <c r="E1079" s="13">
        <v>27</v>
      </c>
      <c r="F1079" s="13">
        <v>11</v>
      </c>
      <c r="G1079" s="13">
        <f t="shared" si="47"/>
        <v>304</v>
      </c>
      <c r="H1079" s="13">
        <v>108</v>
      </c>
      <c r="I1079" s="14">
        <f t="shared" si="48"/>
        <v>-107.0931506849315</v>
      </c>
      <c r="J1079" s="7" t="s">
        <v>2197</v>
      </c>
      <c r="P1079">
        <v>99</v>
      </c>
      <c r="Q1079" s="17">
        <v>99</v>
      </c>
      <c r="R1079" s="16">
        <f>1000/Q1079</f>
        <v>10.1010101010101</v>
      </c>
      <c r="S1079" s="16">
        <f>8.33*R1079</f>
        <v>84.141414141414131</v>
      </c>
      <c r="T1079" s="16">
        <f>S1079*1.33</f>
        <v>111.9080808080808</v>
      </c>
    </row>
    <row r="1080" spans="1:29" x14ac:dyDescent="0.2">
      <c r="A1080">
        <v>-107</v>
      </c>
      <c r="B1080" s="10" t="s">
        <v>36</v>
      </c>
      <c r="D1080" s="15" t="s">
        <v>2208</v>
      </c>
      <c r="E1080" s="13">
        <v>30</v>
      </c>
      <c r="F1080" s="13">
        <v>11</v>
      </c>
      <c r="G1080" s="13">
        <f t="shared" si="47"/>
        <v>304</v>
      </c>
      <c r="H1080" s="13">
        <v>108</v>
      </c>
      <c r="I1080" s="14">
        <f t="shared" si="48"/>
        <v>-107.08493150684932</v>
      </c>
      <c r="J1080" s="26" t="s">
        <v>2209</v>
      </c>
      <c r="U1080" s="1" t="s">
        <v>926</v>
      </c>
      <c r="V1080" s="21">
        <v>360</v>
      </c>
      <c r="W1080" s="22">
        <f>1000/V1080</f>
        <v>2.7777777777777777</v>
      </c>
      <c r="X1080" s="22">
        <f>8.33*W1080</f>
        <v>23.138888888888889</v>
      </c>
    </row>
    <row r="1081" spans="1:29" x14ac:dyDescent="0.2">
      <c r="A1081">
        <v>-107</v>
      </c>
      <c r="B1081" s="10" t="s">
        <v>36</v>
      </c>
      <c r="C1081" s="11" t="s">
        <v>39</v>
      </c>
      <c r="D1081" s="15" t="s">
        <v>2208</v>
      </c>
      <c r="E1081" s="13">
        <v>30</v>
      </c>
      <c r="F1081" s="13">
        <v>11</v>
      </c>
      <c r="G1081" s="13">
        <f t="shared" si="47"/>
        <v>304</v>
      </c>
      <c r="H1081" s="13">
        <v>108</v>
      </c>
      <c r="I1081" s="14">
        <f t="shared" si="48"/>
        <v>-107.08493150684932</v>
      </c>
      <c r="J1081" s="15" t="s">
        <v>2210</v>
      </c>
      <c r="K1081" s="10" t="s">
        <v>2141</v>
      </c>
      <c r="V1081" s="9"/>
    </row>
    <row r="1082" spans="1:29" x14ac:dyDescent="0.2">
      <c r="A1082">
        <v>-107</v>
      </c>
      <c r="B1082" s="10" t="s">
        <v>36</v>
      </c>
      <c r="C1082" s="11" t="s">
        <v>2093</v>
      </c>
      <c r="D1082" s="7" t="s">
        <v>2208</v>
      </c>
      <c r="E1082" s="13">
        <v>30</v>
      </c>
      <c r="F1082" s="13">
        <v>11</v>
      </c>
      <c r="G1082" s="13">
        <f t="shared" si="47"/>
        <v>304</v>
      </c>
      <c r="H1082" s="13">
        <v>108</v>
      </c>
      <c r="I1082" s="14">
        <f t="shared" si="48"/>
        <v>-107.08493150684932</v>
      </c>
      <c r="J1082" s="7" t="s">
        <v>2211</v>
      </c>
      <c r="K1082" s="10" t="s">
        <v>133</v>
      </c>
      <c r="P1082">
        <v>99</v>
      </c>
      <c r="Q1082" s="17">
        <v>99</v>
      </c>
      <c r="R1082" s="16">
        <f>1000/Q1082</f>
        <v>10.1010101010101</v>
      </c>
      <c r="S1082" s="16">
        <f>8.33*R1082</f>
        <v>84.141414141414131</v>
      </c>
      <c r="T1082" s="16">
        <f>S1082*1.33</f>
        <v>111.9080808080808</v>
      </c>
    </row>
    <row r="1083" spans="1:29" x14ac:dyDescent="0.2">
      <c r="A1083">
        <v>-107</v>
      </c>
      <c r="B1083" s="10" t="s">
        <v>36</v>
      </c>
      <c r="C1083" s="11" t="s">
        <v>42</v>
      </c>
      <c r="D1083" s="15" t="s">
        <v>2212</v>
      </c>
      <c r="E1083" s="13">
        <v>10</v>
      </c>
      <c r="F1083" s="13">
        <v>12</v>
      </c>
      <c r="G1083" s="13">
        <f t="shared" si="47"/>
        <v>334</v>
      </c>
      <c r="H1083" s="13">
        <v>108</v>
      </c>
      <c r="I1083" s="14">
        <f t="shared" si="48"/>
        <v>-107.05753424657534</v>
      </c>
      <c r="J1083" s="15" t="s">
        <v>2213</v>
      </c>
    </row>
    <row r="1084" spans="1:29" x14ac:dyDescent="0.2">
      <c r="A1084">
        <v>-107</v>
      </c>
      <c r="B1084" s="10" t="s">
        <v>36</v>
      </c>
      <c r="C1084" s="11" t="s">
        <v>45</v>
      </c>
      <c r="D1084" s="15" t="s">
        <v>2214</v>
      </c>
      <c r="E1084" s="13">
        <v>20</v>
      </c>
      <c r="F1084" s="13">
        <v>12</v>
      </c>
      <c r="G1084" s="13">
        <f t="shared" si="47"/>
        <v>334</v>
      </c>
      <c r="H1084" s="13">
        <v>108</v>
      </c>
      <c r="I1084" s="14">
        <f t="shared" si="48"/>
        <v>-107.03013698630137</v>
      </c>
      <c r="J1084" s="15" t="s">
        <v>2209</v>
      </c>
    </row>
    <row r="1085" spans="1:29" x14ac:dyDescent="0.2">
      <c r="A1085">
        <v>-107</v>
      </c>
      <c r="B1085" s="10" t="s">
        <v>36</v>
      </c>
      <c r="C1085" s="11" t="s">
        <v>2215</v>
      </c>
      <c r="D1085" s="7" t="s">
        <v>2216</v>
      </c>
      <c r="E1085" s="13">
        <v>24</v>
      </c>
      <c r="F1085" s="13">
        <v>12</v>
      </c>
      <c r="G1085" s="13">
        <f t="shared" si="47"/>
        <v>334</v>
      </c>
      <c r="H1085" s="13">
        <v>108</v>
      </c>
      <c r="I1085" s="14">
        <f t="shared" si="48"/>
        <v>-107.01917808219179</v>
      </c>
      <c r="J1085" s="7" t="s">
        <v>2217</v>
      </c>
      <c r="P1085">
        <v>87</v>
      </c>
      <c r="Q1085" s="17">
        <v>87</v>
      </c>
      <c r="R1085" s="16">
        <f>1000/Q1085</f>
        <v>11.494252873563218</v>
      </c>
      <c r="S1085" s="16">
        <f>8.33*R1085</f>
        <v>95.747126436781599</v>
      </c>
      <c r="T1085" s="16">
        <f>S1085*1.33</f>
        <v>127.34367816091954</v>
      </c>
    </row>
    <row r="1086" spans="1:29" x14ac:dyDescent="0.2">
      <c r="A1086">
        <v>-107</v>
      </c>
      <c r="B1086" s="10" t="s">
        <v>36</v>
      </c>
      <c r="C1086" s="11" t="s">
        <v>2206</v>
      </c>
      <c r="D1086" s="7" t="s">
        <v>2218</v>
      </c>
      <c r="E1086" s="13">
        <v>27</v>
      </c>
      <c r="F1086" s="13">
        <v>12</v>
      </c>
      <c r="G1086" s="13">
        <f t="shared" si="47"/>
        <v>334</v>
      </c>
      <c r="H1086" s="13">
        <v>108</v>
      </c>
      <c r="I1086" s="14">
        <f t="shared" si="48"/>
        <v>-107.01095890410959</v>
      </c>
      <c r="J1086" s="7" t="s">
        <v>2209</v>
      </c>
      <c r="P1086">
        <v>90</v>
      </c>
      <c r="Q1086" s="17">
        <v>90</v>
      </c>
      <c r="R1086" s="16">
        <f>1000/Q1086</f>
        <v>11.111111111111111</v>
      </c>
      <c r="S1086" s="16">
        <f>8.33*R1086</f>
        <v>92.555555555555557</v>
      </c>
      <c r="T1086" s="16">
        <f>S1086*1.33</f>
        <v>123.09888888888889</v>
      </c>
    </row>
    <row r="1087" spans="1:29" x14ac:dyDescent="0.2">
      <c r="A1087">
        <v>-107</v>
      </c>
      <c r="B1087" s="10" t="s">
        <v>36</v>
      </c>
      <c r="C1087" s="11" t="s">
        <v>2219</v>
      </c>
      <c r="D1087" s="7" t="s">
        <v>2220</v>
      </c>
      <c r="E1087" s="13">
        <v>28</v>
      </c>
      <c r="F1087" s="13">
        <v>12</v>
      </c>
      <c r="G1087" s="13">
        <f t="shared" si="47"/>
        <v>334</v>
      </c>
      <c r="H1087" s="13">
        <v>108</v>
      </c>
      <c r="I1087" s="14">
        <f t="shared" si="48"/>
        <v>-107.00821917808219</v>
      </c>
      <c r="J1087" s="7" t="s">
        <v>2209</v>
      </c>
      <c r="K1087" s="10">
        <v>27</v>
      </c>
      <c r="L1087" s="16">
        <v>27</v>
      </c>
      <c r="M1087" s="16">
        <f>1000/L1087</f>
        <v>37.037037037037038</v>
      </c>
      <c r="N1087" s="16">
        <f>8.33*M1087</f>
        <v>308.51851851851853</v>
      </c>
      <c r="O1087" s="16">
        <f>1.613*N1087</f>
        <v>497.64037037037036</v>
      </c>
    </row>
    <row r="1088" spans="1:29" x14ac:dyDescent="0.2">
      <c r="A1088">
        <v>-107</v>
      </c>
      <c r="B1088" s="10" t="s">
        <v>83</v>
      </c>
      <c r="C1088" s="11" t="s">
        <v>39</v>
      </c>
      <c r="D1088" s="26" t="s">
        <v>2221</v>
      </c>
      <c r="E1088" s="13">
        <v>29</v>
      </c>
      <c r="F1088" s="13">
        <v>1</v>
      </c>
      <c r="G1088" s="13">
        <f t="shared" si="47"/>
        <v>0</v>
      </c>
      <c r="H1088" s="13">
        <v>107</v>
      </c>
      <c r="I1088" s="14">
        <f t="shared" si="48"/>
        <v>-106.92054794520548</v>
      </c>
      <c r="J1088" s="26" t="s">
        <v>2222</v>
      </c>
    </row>
    <row r="1089" spans="1:37" x14ac:dyDescent="0.2">
      <c r="A1089">
        <v>-107</v>
      </c>
      <c r="B1089" s="10" t="s">
        <v>83</v>
      </c>
      <c r="C1089" s="11" t="s">
        <v>2223</v>
      </c>
      <c r="D1089" s="7" t="s">
        <v>2221</v>
      </c>
      <c r="E1089" s="13">
        <v>29</v>
      </c>
      <c r="F1089" s="13">
        <v>1</v>
      </c>
      <c r="G1089" s="13">
        <f t="shared" si="47"/>
        <v>0</v>
      </c>
      <c r="H1089" s="13">
        <v>107</v>
      </c>
      <c r="I1089" s="14">
        <f t="shared" si="48"/>
        <v>-106.92054794520548</v>
      </c>
      <c r="J1089" s="7" t="s">
        <v>2224</v>
      </c>
      <c r="P1089">
        <v>96</v>
      </c>
      <c r="Q1089" s="17">
        <v>96</v>
      </c>
      <c r="R1089" s="16">
        <f>1000/Q1089</f>
        <v>10.416666666666666</v>
      </c>
      <c r="S1089" s="16">
        <f>8.33*R1089</f>
        <v>86.770833333333329</v>
      </c>
      <c r="T1089" s="16">
        <f>S1089*1.33</f>
        <v>115.40520833333333</v>
      </c>
    </row>
    <row r="1090" spans="1:37" x14ac:dyDescent="0.2">
      <c r="A1090">
        <v>-107</v>
      </c>
      <c r="B1090" s="10" t="s">
        <v>83</v>
      </c>
      <c r="C1090" s="11" t="s">
        <v>42</v>
      </c>
      <c r="D1090" s="26" t="s">
        <v>2225</v>
      </c>
      <c r="E1090" s="13">
        <v>8</v>
      </c>
      <c r="F1090" s="13">
        <v>2</v>
      </c>
      <c r="G1090" s="13">
        <f t="shared" ref="G1090:G1153" si="49">INDEX(A$1502:A$1513,F1090)</f>
        <v>31</v>
      </c>
      <c r="H1090" s="13">
        <v>107</v>
      </c>
      <c r="I1090" s="14">
        <f t="shared" si="48"/>
        <v>-106.89315068493151</v>
      </c>
      <c r="J1090" s="26" t="s">
        <v>2226</v>
      </c>
      <c r="T1090" s="8"/>
    </row>
    <row r="1091" spans="1:37" x14ac:dyDescent="0.2">
      <c r="A1091">
        <v>-107</v>
      </c>
      <c r="B1091" s="10" t="s">
        <v>83</v>
      </c>
      <c r="C1091" s="11" t="s">
        <v>1931</v>
      </c>
      <c r="D1091" s="25" t="s">
        <v>2225</v>
      </c>
      <c r="E1091" s="13">
        <v>8</v>
      </c>
      <c r="F1091" s="13">
        <v>2</v>
      </c>
      <c r="G1091" s="13">
        <f t="shared" si="49"/>
        <v>31</v>
      </c>
      <c r="H1091" s="13">
        <v>107</v>
      </c>
      <c r="I1091" s="14">
        <f t="shared" ref="I1091:I1154" si="50">($E1091+$G1091)/365-$H1091</f>
        <v>-106.89315068493151</v>
      </c>
      <c r="J1091" s="7" t="s">
        <v>2227</v>
      </c>
      <c r="K1091" s="10">
        <v>30</v>
      </c>
      <c r="L1091" s="16">
        <v>30</v>
      </c>
      <c r="M1091" s="16">
        <f>1000/L1091</f>
        <v>33.333333333333336</v>
      </c>
      <c r="N1091" s="16">
        <f>8.33*M1091</f>
        <v>277.66666666666669</v>
      </c>
      <c r="O1091" s="16">
        <f>1.613*N1091</f>
        <v>447.87633333333338</v>
      </c>
      <c r="T1091" s="8"/>
      <c r="AK1091" t="s">
        <v>2228</v>
      </c>
    </row>
    <row r="1092" spans="1:37" x14ac:dyDescent="0.2">
      <c r="A1092">
        <v>-107</v>
      </c>
      <c r="B1092" s="10" t="s">
        <v>83</v>
      </c>
      <c r="C1092" s="11" t="s">
        <v>2229</v>
      </c>
      <c r="D1092" s="7" t="s">
        <v>2230</v>
      </c>
      <c r="E1092" s="13">
        <v>10</v>
      </c>
      <c r="F1092" s="13">
        <v>2</v>
      </c>
      <c r="G1092" s="13">
        <f t="shared" si="49"/>
        <v>31</v>
      </c>
      <c r="H1092" s="13">
        <v>107</v>
      </c>
      <c r="I1092" s="14">
        <f t="shared" si="50"/>
        <v>-106.88767123287671</v>
      </c>
      <c r="J1092" s="7" t="s">
        <v>2231</v>
      </c>
      <c r="K1092" s="10">
        <v>33</v>
      </c>
      <c r="L1092" s="16">
        <v>33</v>
      </c>
      <c r="M1092" s="16">
        <f>1000/L1092</f>
        <v>30.303030303030305</v>
      </c>
      <c r="N1092" s="16">
        <f>8.33*M1092</f>
        <v>252.42424242424244</v>
      </c>
      <c r="O1092" s="16">
        <f>1.613*N1092</f>
        <v>407.16030303030306</v>
      </c>
      <c r="T1092" s="8"/>
    </row>
    <row r="1093" spans="1:37" x14ac:dyDescent="0.2">
      <c r="A1093">
        <v>-107</v>
      </c>
      <c r="B1093" s="10" t="s">
        <v>83</v>
      </c>
      <c r="C1093" s="11" t="s">
        <v>2232</v>
      </c>
      <c r="D1093" s="7" t="s">
        <v>2233</v>
      </c>
      <c r="E1093" s="13">
        <v>12</v>
      </c>
      <c r="F1093" s="13">
        <v>2</v>
      </c>
      <c r="G1093" s="13">
        <f t="shared" si="49"/>
        <v>31</v>
      </c>
      <c r="H1093" s="13">
        <v>107</v>
      </c>
      <c r="I1093" s="14">
        <f t="shared" si="50"/>
        <v>-106.88219178082191</v>
      </c>
      <c r="J1093" s="7" t="s">
        <v>2234</v>
      </c>
      <c r="K1093" s="10">
        <v>36</v>
      </c>
      <c r="L1093" s="16">
        <v>36</v>
      </c>
      <c r="M1093" s="16">
        <f>1000/L1093</f>
        <v>27.777777777777779</v>
      </c>
      <c r="N1093" s="16">
        <f>8.33*M1093</f>
        <v>231.38888888888889</v>
      </c>
      <c r="O1093" s="16">
        <f>1.613*N1093</f>
        <v>373.23027777777776</v>
      </c>
      <c r="T1093" s="8"/>
    </row>
    <row r="1094" spans="1:37" x14ac:dyDescent="0.2">
      <c r="A1094">
        <v>-107</v>
      </c>
      <c r="B1094" s="10" t="s">
        <v>83</v>
      </c>
      <c r="C1094" s="11" t="s">
        <v>2235</v>
      </c>
      <c r="D1094" s="7" t="s">
        <v>2236</v>
      </c>
      <c r="E1094" s="13">
        <v>14</v>
      </c>
      <c r="F1094" s="13">
        <v>2</v>
      </c>
      <c r="G1094" s="13">
        <f t="shared" si="49"/>
        <v>31</v>
      </c>
      <c r="H1094" s="13">
        <v>107</v>
      </c>
      <c r="I1094" s="14">
        <f t="shared" si="50"/>
        <v>-106.87671232876713</v>
      </c>
      <c r="J1094" s="7" t="s">
        <v>2237</v>
      </c>
      <c r="K1094" s="10">
        <v>40</v>
      </c>
      <c r="L1094" s="16">
        <v>40</v>
      </c>
      <c r="M1094" s="16">
        <f>1000/L1094</f>
        <v>25</v>
      </c>
      <c r="N1094" s="16">
        <f>8.33*M1094</f>
        <v>208.25</v>
      </c>
      <c r="O1094" s="16">
        <f>1.613*N1094</f>
        <v>335.90724999999998</v>
      </c>
      <c r="T1094" s="8"/>
    </row>
    <row r="1095" spans="1:37" x14ac:dyDescent="0.2">
      <c r="A1095">
        <v>-107</v>
      </c>
      <c r="B1095" s="10" t="s">
        <v>83</v>
      </c>
      <c r="C1095" s="11" t="s">
        <v>45</v>
      </c>
      <c r="D1095" s="15" t="s">
        <v>2238</v>
      </c>
      <c r="E1095" s="13">
        <v>18</v>
      </c>
      <c r="F1095" s="13">
        <v>2</v>
      </c>
      <c r="G1095" s="13">
        <f t="shared" si="49"/>
        <v>31</v>
      </c>
      <c r="H1095" s="13">
        <v>107</v>
      </c>
      <c r="I1095" s="14">
        <f t="shared" si="50"/>
        <v>-106.86575342465754</v>
      </c>
      <c r="J1095" s="15" t="s">
        <v>2237</v>
      </c>
      <c r="T1095" s="8"/>
    </row>
    <row r="1096" spans="1:37" x14ac:dyDescent="0.2">
      <c r="A1096">
        <v>-107</v>
      </c>
      <c r="B1096" s="10" t="s">
        <v>83</v>
      </c>
      <c r="C1096" s="11">
        <v>29</v>
      </c>
      <c r="D1096" s="7" t="s">
        <v>2237</v>
      </c>
      <c r="E1096" s="13">
        <v>26</v>
      </c>
      <c r="F1096" s="13">
        <v>2</v>
      </c>
      <c r="G1096" s="13">
        <f t="shared" si="49"/>
        <v>31</v>
      </c>
      <c r="H1096" s="13">
        <v>107</v>
      </c>
      <c r="I1096" s="14">
        <f t="shared" si="50"/>
        <v>-106.84383561643835</v>
      </c>
      <c r="P1096" t="s">
        <v>581</v>
      </c>
      <c r="Q1096" s="20">
        <v>87</v>
      </c>
      <c r="R1096" s="19">
        <f>1000/Q1096</f>
        <v>11.494252873563218</v>
      </c>
      <c r="S1096" s="19">
        <f>8.33*R1096</f>
        <v>95.747126436781599</v>
      </c>
      <c r="T1096" s="19">
        <f>S1096*1.33</f>
        <v>127.34367816091954</v>
      </c>
    </row>
    <row r="1097" spans="1:37" x14ac:dyDescent="0.2">
      <c r="A1097">
        <v>-107</v>
      </c>
      <c r="B1097" s="10" t="s">
        <v>127</v>
      </c>
      <c r="D1097" s="15" t="s">
        <v>2239</v>
      </c>
      <c r="E1097" s="13">
        <v>27</v>
      </c>
      <c r="F1097" s="13">
        <v>2</v>
      </c>
      <c r="G1097" s="13">
        <f t="shared" si="49"/>
        <v>31</v>
      </c>
      <c r="H1097" s="13">
        <v>107</v>
      </c>
      <c r="I1097" s="14">
        <f t="shared" si="50"/>
        <v>-106.84109589041095</v>
      </c>
      <c r="J1097" s="15" t="s">
        <v>2240</v>
      </c>
      <c r="U1097" s="1">
        <v>360</v>
      </c>
      <c r="V1097" s="9">
        <v>360</v>
      </c>
      <c r="W1097" s="8">
        <f>1000/V1097</f>
        <v>2.7777777777777777</v>
      </c>
      <c r="X1097" s="8">
        <f>8.33*W1097</f>
        <v>23.138888888888889</v>
      </c>
      <c r="Y1097" s="1">
        <v>17</v>
      </c>
      <c r="Z1097" s="9">
        <v>17</v>
      </c>
      <c r="AA1097" s="8">
        <f>1000/Z1097</f>
        <v>58.823529411764703</v>
      </c>
      <c r="AB1097" s="8">
        <f>8.33*AA1097</f>
        <v>490</v>
      </c>
    </row>
    <row r="1098" spans="1:37" x14ac:dyDescent="0.2">
      <c r="A1098">
        <v>-107</v>
      </c>
      <c r="B1098" s="10" t="s">
        <v>127</v>
      </c>
      <c r="C1098" s="11" t="s">
        <v>39</v>
      </c>
      <c r="D1098" s="15" t="s">
        <v>2239</v>
      </c>
      <c r="E1098" s="13">
        <v>27</v>
      </c>
      <c r="F1098" s="13">
        <v>2</v>
      </c>
      <c r="G1098" s="13">
        <f t="shared" si="49"/>
        <v>31</v>
      </c>
      <c r="H1098" s="13">
        <v>107</v>
      </c>
      <c r="I1098" s="14">
        <f t="shared" si="50"/>
        <v>-106.84109589041095</v>
      </c>
      <c r="J1098" s="15" t="s">
        <v>2241</v>
      </c>
      <c r="AC1098" t="s">
        <v>41</v>
      </c>
    </row>
    <row r="1099" spans="1:37" x14ac:dyDescent="0.2">
      <c r="A1099">
        <v>-107</v>
      </c>
      <c r="B1099" s="10" t="s">
        <v>127</v>
      </c>
      <c r="C1099" s="11" t="s">
        <v>462</v>
      </c>
      <c r="D1099" s="7" t="s">
        <v>2239</v>
      </c>
      <c r="E1099" s="13">
        <v>27</v>
      </c>
      <c r="F1099" s="13">
        <v>2</v>
      </c>
      <c r="G1099" s="13">
        <f t="shared" si="49"/>
        <v>31</v>
      </c>
      <c r="H1099" s="13">
        <v>107</v>
      </c>
      <c r="I1099" s="14">
        <f t="shared" si="50"/>
        <v>-106.84109589041095</v>
      </c>
      <c r="J1099" s="7" t="s">
        <v>2242</v>
      </c>
      <c r="K1099" s="10">
        <v>40</v>
      </c>
      <c r="L1099" s="16">
        <v>40</v>
      </c>
      <c r="M1099" s="16">
        <f>1000/L1099</f>
        <v>25</v>
      </c>
      <c r="N1099" s="16">
        <f>8.33*M1099</f>
        <v>208.25</v>
      </c>
      <c r="O1099" s="16">
        <f>1.613*N1099</f>
        <v>335.90724999999998</v>
      </c>
      <c r="P1099">
        <v>102</v>
      </c>
      <c r="Q1099" s="17">
        <v>102</v>
      </c>
      <c r="R1099" s="16">
        <f>1000/Q1099</f>
        <v>9.8039215686274517</v>
      </c>
      <c r="S1099" s="16">
        <f>8.33*R1099</f>
        <v>81.666666666666671</v>
      </c>
      <c r="T1099" s="16">
        <f>S1099*1.33</f>
        <v>108.61666666666667</v>
      </c>
    </row>
    <row r="1100" spans="1:37" x14ac:dyDescent="0.2">
      <c r="A1100">
        <v>-107</v>
      </c>
      <c r="B1100" s="10" t="s">
        <v>127</v>
      </c>
      <c r="C1100" s="11" t="s">
        <v>42</v>
      </c>
      <c r="D1100" s="26" t="s">
        <v>2243</v>
      </c>
      <c r="E1100" s="13">
        <v>9</v>
      </c>
      <c r="F1100" s="13">
        <v>3</v>
      </c>
      <c r="G1100" s="13">
        <f t="shared" si="49"/>
        <v>59</v>
      </c>
      <c r="H1100" s="13">
        <v>107</v>
      </c>
      <c r="I1100" s="14">
        <f t="shared" si="50"/>
        <v>-106.81369863013698</v>
      </c>
      <c r="J1100" s="26" t="s">
        <v>2244</v>
      </c>
    </row>
    <row r="1101" spans="1:37" x14ac:dyDescent="0.2">
      <c r="A1101">
        <v>-107</v>
      </c>
      <c r="B1101" s="10" t="s">
        <v>127</v>
      </c>
      <c r="C1101" s="11" t="s">
        <v>1671</v>
      </c>
      <c r="D1101" s="7" t="s">
        <v>2245</v>
      </c>
      <c r="E1101" s="13">
        <v>17</v>
      </c>
      <c r="F1101" s="13">
        <v>3</v>
      </c>
      <c r="G1101" s="13">
        <f t="shared" si="49"/>
        <v>59</v>
      </c>
      <c r="H1101" s="13">
        <v>107</v>
      </c>
      <c r="I1101" s="14">
        <f t="shared" si="50"/>
        <v>-106.79178082191781</v>
      </c>
      <c r="J1101" s="7" t="s">
        <v>2244</v>
      </c>
      <c r="P1101">
        <v>108</v>
      </c>
      <c r="Q1101" s="17">
        <v>108</v>
      </c>
      <c r="R1101" s="16">
        <f>1000/Q1101</f>
        <v>9.2592592592592595</v>
      </c>
      <c r="S1101" s="16">
        <f>8.33*R1101</f>
        <v>77.129629629629633</v>
      </c>
      <c r="T1101" s="16">
        <f>S1101*1.33</f>
        <v>102.58240740740742</v>
      </c>
    </row>
    <row r="1102" spans="1:37" x14ac:dyDescent="0.2">
      <c r="A1102">
        <v>-107</v>
      </c>
      <c r="B1102" s="10" t="s">
        <v>127</v>
      </c>
      <c r="C1102" s="11" t="s">
        <v>45</v>
      </c>
      <c r="D1102" s="26" t="s">
        <v>2246</v>
      </c>
      <c r="E1102" s="13">
        <v>19</v>
      </c>
      <c r="F1102" s="13">
        <v>3</v>
      </c>
      <c r="G1102" s="13">
        <f t="shared" si="49"/>
        <v>59</v>
      </c>
      <c r="H1102" s="13">
        <v>107</v>
      </c>
      <c r="I1102" s="14">
        <f t="shared" si="50"/>
        <v>-106.78630136986301</v>
      </c>
      <c r="J1102" s="26" t="s">
        <v>2240</v>
      </c>
    </row>
    <row r="1103" spans="1:37" x14ac:dyDescent="0.2">
      <c r="A1103">
        <v>-107</v>
      </c>
      <c r="B1103" s="10" t="s">
        <v>127</v>
      </c>
      <c r="C1103" s="11" t="s">
        <v>1525</v>
      </c>
      <c r="D1103" s="7" t="s">
        <v>2246</v>
      </c>
      <c r="E1103" s="13">
        <v>19</v>
      </c>
      <c r="F1103" s="13">
        <v>3</v>
      </c>
      <c r="G1103" s="13">
        <f t="shared" si="49"/>
        <v>59</v>
      </c>
      <c r="H1103" s="13">
        <v>107</v>
      </c>
      <c r="I1103" s="14">
        <f t="shared" si="50"/>
        <v>-106.78630136986301</v>
      </c>
      <c r="J1103" s="7" t="s">
        <v>2247</v>
      </c>
      <c r="P1103">
        <v>114</v>
      </c>
      <c r="Q1103" s="17">
        <v>114</v>
      </c>
      <c r="R1103" s="16">
        <f>1000/Q1103</f>
        <v>8.7719298245614041</v>
      </c>
      <c r="S1103" s="16">
        <f>8.33*R1103</f>
        <v>73.070175438596493</v>
      </c>
      <c r="T1103" s="16">
        <f>S1103*1.33</f>
        <v>97.183333333333337</v>
      </c>
    </row>
    <row r="1104" spans="1:37" x14ac:dyDescent="0.2">
      <c r="A1104">
        <v>-107</v>
      </c>
      <c r="B1104" s="10" t="s">
        <v>127</v>
      </c>
      <c r="C1104" s="11" t="s">
        <v>1418</v>
      </c>
      <c r="D1104" s="7" t="s">
        <v>2248</v>
      </c>
      <c r="E1104" s="13">
        <v>21</v>
      </c>
      <c r="F1104" s="13">
        <v>3</v>
      </c>
      <c r="G1104" s="13">
        <f t="shared" si="49"/>
        <v>59</v>
      </c>
      <c r="H1104" s="13">
        <v>107</v>
      </c>
      <c r="I1104" s="14">
        <f t="shared" si="50"/>
        <v>-106.78082191780823</v>
      </c>
      <c r="J1104" s="7" t="s">
        <v>2249</v>
      </c>
      <c r="P1104">
        <v>120</v>
      </c>
      <c r="Q1104" s="17">
        <v>120</v>
      </c>
      <c r="R1104" s="16">
        <f>1000/Q1104</f>
        <v>8.3333333333333339</v>
      </c>
      <c r="S1104" s="16">
        <f>8.33*R1104</f>
        <v>69.416666666666671</v>
      </c>
      <c r="T1104" s="16">
        <f>S1104*1.33</f>
        <v>92.324166666666684</v>
      </c>
    </row>
    <row r="1105" spans="1:37" x14ac:dyDescent="0.2">
      <c r="A1105">
        <v>-107</v>
      </c>
      <c r="B1105" s="10" t="s">
        <v>127</v>
      </c>
      <c r="C1105" s="11" t="s">
        <v>1847</v>
      </c>
      <c r="D1105" s="7" t="s">
        <v>2249</v>
      </c>
      <c r="E1105" s="13">
        <v>22</v>
      </c>
      <c r="F1105" s="13">
        <v>3</v>
      </c>
      <c r="G1105" s="13">
        <f t="shared" si="49"/>
        <v>59</v>
      </c>
      <c r="H1105" s="13">
        <v>107</v>
      </c>
      <c r="I1105" s="14">
        <f t="shared" si="50"/>
        <v>-106.77808219178083</v>
      </c>
      <c r="J1105" s="7" t="s">
        <v>2240</v>
      </c>
      <c r="P1105" t="s">
        <v>2250</v>
      </c>
    </row>
    <row r="1106" spans="1:37" x14ac:dyDescent="0.2">
      <c r="A1106">
        <v>-105</v>
      </c>
      <c r="B1106" s="10" t="s">
        <v>60</v>
      </c>
      <c r="D1106" s="15" t="s">
        <v>2251</v>
      </c>
      <c r="E1106" s="13">
        <v>17</v>
      </c>
      <c r="F1106" s="13">
        <v>4</v>
      </c>
      <c r="G1106" s="13">
        <f t="shared" si="49"/>
        <v>90</v>
      </c>
      <c r="H1106" s="13">
        <v>106</v>
      </c>
      <c r="I1106" s="14">
        <f t="shared" si="50"/>
        <v>-105.7068493150685</v>
      </c>
      <c r="J1106" s="7" t="s">
        <v>2252</v>
      </c>
      <c r="Y1106" s="1">
        <v>16.25</v>
      </c>
      <c r="Z1106" s="9">
        <v>16.25</v>
      </c>
      <c r="AA1106" s="8">
        <f>1000/Z1106</f>
        <v>61.53846153846154</v>
      </c>
      <c r="AB1106" s="8">
        <f>8.33*AA1106</f>
        <v>512.61538461538464</v>
      </c>
      <c r="AG1106" s="1">
        <v>2</v>
      </c>
      <c r="AH1106" s="9">
        <v>2</v>
      </c>
      <c r="AI1106" s="8">
        <f>1/AH1106</f>
        <v>0.5</v>
      </c>
      <c r="AJ1106" s="8">
        <f>8.33*AI1106</f>
        <v>4.165</v>
      </c>
    </row>
    <row r="1107" spans="1:37" x14ac:dyDescent="0.2">
      <c r="A1107">
        <v>-105</v>
      </c>
      <c r="B1107" s="10" t="s">
        <v>60</v>
      </c>
      <c r="C1107" s="11" t="s">
        <v>2066</v>
      </c>
      <c r="D1107" s="15" t="s">
        <v>2251</v>
      </c>
      <c r="E1107" s="13">
        <v>17</v>
      </c>
      <c r="F1107" s="13">
        <v>4</v>
      </c>
      <c r="G1107" s="13">
        <f t="shared" si="49"/>
        <v>90</v>
      </c>
      <c r="H1107" s="13">
        <v>106</v>
      </c>
      <c r="I1107" s="14">
        <f t="shared" si="50"/>
        <v>-105.7068493150685</v>
      </c>
      <c r="J1107" s="15" t="s">
        <v>2253</v>
      </c>
      <c r="P1107">
        <v>80</v>
      </c>
      <c r="Q1107" s="17">
        <v>80</v>
      </c>
      <c r="R1107" s="16">
        <v>12.5</v>
      </c>
      <c r="S1107" s="16">
        <v>104.13</v>
      </c>
      <c r="T1107" s="16">
        <f>S1107*1.33</f>
        <v>138.49289999999999</v>
      </c>
    </row>
    <row r="1108" spans="1:37" x14ac:dyDescent="0.2">
      <c r="A1108">
        <v>-105</v>
      </c>
      <c r="B1108" s="10" t="s">
        <v>60</v>
      </c>
      <c r="C1108" s="11" t="s">
        <v>2254</v>
      </c>
      <c r="D1108" s="7" t="s">
        <v>2251</v>
      </c>
      <c r="E1108" s="13">
        <v>17</v>
      </c>
      <c r="F1108" s="13">
        <v>4</v>
      </c>
      <c r="G1108" s="13">
        <f t="shared" si="49"/>
        <v>90</v>
      </c>
      <c r="H1108" s="13">
        <v>106</v>
      </c>
      <c r="I1108" s="14">
        <f t="shared" si="50"/>
        <v>-105.7068493150685</v>
      </c>
      <c r="J1108" s="7" t="s">
        <v>2255</v>
      </c>
      <c r="K1108" s="10">
        <v>48</v>
      </c>
      <c r="L1108" s="16">
        <v>48</v>
      </c>
      <c r="M1108" s="16">
        <f>1000/L1108</f>
        <v>20.833333333333332</v>
      </c>
      <c r="N1108" s="16">
        <f>8.33*M1108</f>
        <v>173.54166666666666</v>
      </c>
      <c r="O1108" s="16">
        <f>1.613*N1108</f>
        <v>279.92270833333333</v>
      </c>
      <c r="T1108" s="8"/>
      <c r="AC1108">
        <v>7</v>
      </c>
      <c r="AD1108" s="17">
        <v>7</v>
      </c>
      <c r="AE1108" s="16">
        <f>1000/AD1108</f>
        <v>142.85714285714286</v>
      </c>
      <c r="AF1108" s="16">
        <f>8.33*AE1108</f>
        <v>1190</v>
      </c>
    </row>
    <row r="1109" spans="1:37" x14ac:dyDescent="0.2">
      <c r="A1109">
        <v>-105</v>
      </c>
      <c r="B1109" s="10" t="s">
        <v>60</v>
      </c>
      <c r="C1109" s="11" t="s">
        <v>2256</v>
      </c>
      <c r="D1109" s="7" t="s">
        <v>2257</v>
      </c>
      <c r="E1109" s="13">
        <v>27</v>
      </c>
      <c r="F1109" s="13">
        <v>4</v>
      </c>
      <c r="G1109" s="13">
        <f t="shared" si="49"/>
        <v>90</v>
      </c>
      <c r="H1109" s="13">
        <v>106</v>
      </c>
      <c r="I1109" s="14">
        <f t="shared" si="50"/>
        <v>-105.67945205479452</v>
      </c>
      <c r="J1109" s="7" t="s">
        <v>2258</v>
      </c>
      <c r="T1109" s="8"/>
      <c r="AC1109">
        <v>7.5</v>
      </c>
      <c r="AD1109" s="17">
        <v>7.5</v>
      </c>
      <c r="AE1109" s="16">
        <v>133.33000000000001</v>
      </c>
      <c r="AF1109" s="16">
        <v>1110.67</v>
      </c>
    </row>
    <row r="1110" spans="1:37" x14ac:dyDescent="0.2">
      <c r="A1110">
        <v>-105</v>
      </c>
      <c r="B1110" s="10" t="s">
        <v>60</v>
      </c>
      <c r="C1110" s="11">
        <v>14</v>
      </c>
      <c r="D1110" s="7" t="s">
        <v>2259</v>
      </c>
      <c r="E1110" s="13">
        <v>30</v>
      </c>
      <c r="F1110" s="13">
        <v>4</v>
      </c>
      <c r="G1110" s="13">
        <f t="shared" si="49"/>
        <v>90</v>
      </c>
      <c r="H1110" s="13">
        <v>106</v>
      </c>
      <c r="I1110" s="14">
        <f t="shared" si="50"/>
        <v>-105.67123287671232</v>
      </c>
      <c r="K1110" s="10">
        <v>52</v>
      </c>
      <c r="L1110" s="16">
        <v>52</v>
      </c>
      <c r="M1110" s="16">
        <f>1000/L1110</f>
        <v>19.23076923076923</v>
      </c>
      <c r="N1110" s="16">
        <f>8.33*M1110</f>
        <v>160.19230769230768</v>
      </c>
      <c r="O1110" s="16">
        <f>1.613*N1110</f>
        <v>258.3901923076923</v>
      </c>
      <c r="T1110" s="8"/>
    </row>
    <row r="1111" spans="1:37" x14ac:dyDescent="0.2">
      <c r="A1111">
        <v>-105</v>
      </c>
      <c r="B1111" s="10" t="s">
        <v>60</v>
      </c>
      <c r="C1111" s="11" t="s">
        <v>2260</v>
      </c>
      <c r="D1111" s="7" t="s">
        <v>2253</v>
      </c>
      <c r="E1111" s="13">
        <v>1</v>
      </c>
      <c r="F1111" s="13">
        <v>5</v>
      </c>
      <c r="G1111" s="13">
        <f t="shared" si="49"/>
        <v>120</v>
      </c>
      <c r="H1111" s="13">
        <v>106</v>
      </c>
      <c r="I1111" s="14">
        <f t="shared" si="50"/>
        <v>-105.66849315068494</v>
      </c>
      <c r="K1111" s="10">
        <v>54</v>
      </c>
      <c r="L1111" s="16">
        <v>54</v>
      </c>
      <c r="M1111" s="16">
        <f>1000/L1111</f>
        <v>18.518518518518519</v>
      </c>
      <c r="N1111" s="16">
        <f>8.33*M1111</f>
        <v>154.25925925925927</v>
      </c>
      <c r="O1111" s="16">
        <f>1.613*N1111</f>
        <v>248.82018518518518</v>
      </c>
      <c r="T1111" s="8"/>
    </row>
    <row r="1112" spans="1:37" x14ac:dyDescent="0.2">
      <c r="A1112">
        <v>-105</v>
      </c>
      <c r="B1112" s="10" t="s">
        <v>60</v>
      </c>
      <c r="C1112" s="11" t="s">
        <v>2261</v>
      </c>
      <c r="D1112" s="7" t="s">
        <v>2262</v>
      </c>
      <c r="E1112" s="13">
        <v>2</v>
      </c>
      <c r="F1112" s="13">
        <v>5</v>
      </c>
      <c r="G1112" s="13">
        <f t="shared" si="49"/>
        <v>120</v>
      </c>
      <c r="H1112" s="13">
        <v>106</v>
      </c>
      <c r="I1112" s="14">
        <f t="shared" si="50"/>
        <v>-105.66575342465754</v>
      </c>
      <c r="J1112" s="7" t="s">
        <v>2252</v>
      </c>
      <c r="K1112" s="10">
        <v>60</v>
      </c>
      <c r="L1112" s="16">
        <v>60</v>
      </c>
      <c r="M1112" s="16">
        <f>1000/L1112</f>
        <v>16.666666666666668</v>
      </c>
      <c r="N1112" s="16">
        <f>8.33*M1112</f>
        <v>138.83333333333334</v>
      </c>
      <c r="O1112" s="16">
        <f>1.613*N1112</f>
        <v>223.93816666666669</v>
      </c>
      <c r="T1112" s="8"/>
    </row>
    <row r="1113" spans="1:37" x14ac:dyDescent="0.2">
      <c r="A1113">
        <v>-105</v>
      </c>
      <c r="B1113" s="10" t="s">
        <v>60</v>
      </c>
      <c r="C1113" s="11" t="s">
        <v>45</v>
      </c>
      <c r="D1113" s="15" t="s">
        <v>2263</v>
      </c>
      <c r="E1113" s="13">
        <v>7</v>
      </c>
      <c r="F1113" s="13">
        <v>5</v>
      </c>
      <c r="G1113" s="13">
        <f t="shared" si="49"/>
        <v>120</v>
      </c>
      <c r="H1113" s="13">
        <v>106</v>
      </c>
      <c r="I1113" s="14">
        <f t="shared" si="50"/>
        <v>-105.65205479452055</v>
      </c>
      <c r="P1113" t="s">
        <v>198</v>
      </c>
      <c r="T1113" s="8"/>
    </row>
    <row r="1114" spans="1:37" x14ac:dyDescent="0.2">
      <c r="A1114">
        <v>-105</v>
      </c>
      <c r="B1114" s="10" t="s">
        <v>60</v>
      </c>
      <c r="C1114" s="11" t="s">
        <v>1622</v>
      </c>
      <c r="D1114" s="7" t="s">
        <v>2264</v>
      </c>
      <c r="E1114" s="13">
        <v>13</v>
      </c>
      <c r="F1114" s="13">
        <v>5</v>
      </c>
      <c r="G1114" s="13">
        <f t="shared" si="49"/>
        <v>120</v>
      </c>
      <c r="H1114" s="13">
        <v>106</v>
      </c>
      <c r="I1114" s="14">
        <f t="shared" si="50"/>
        <v>-105.63561643835617</v>
      </c>
      <c r="J1114" s="7" t="s">
        <v>2252</v>
      </c>
      <c r="T1114" s="8"/>
      <c r="AC1114">
        <v>8.125</v>
      </c>
      <c r="AD1114" s="17">
        <v>8.125</v>
      </c>
      <c r="AE1114" s="16">
        <f>1000/AD1114</f>
        <v>123.07692307692308</v>
      </c>
      <c r="AF1114" s="16">
        <f>8.33*AE1114</f>
        <v>1025.2307692307693</v>
      </c>
    </row>
    <row r="1115" spans="1:37" x14ac:dyDescent="0.2">
      <c r="A1115">
        <v>-105</v>
      </c>
      <c r="B1115" s="10" t="s">
        <v>47</v>
      </c>
      <c r="C1115" s="11" t="s">
        <v>39</v>
      </c>
      <c r="D1115" s="26" t="s">
        <v>2265</v>
      </c>
      <c r="E1115" s="13">
        <v>16</v>
      </c>
      <c r="F1115" s="13">
        <v>5</v>
      </c>
      <c r="G1115" s="13">
        <f t="shared" si="49"/>
        <v>120</v>
      </c>
      <c r="H1115" s="13">
        <v>106</v>
      </c>
      <c r="I1115" s="14">
        <f t="shared" si="50"/>
        <v>-105.62739726027397</v>
      </c>
      <c r="J1115" s="26" t="s">
        <v>2252</v>
      </c>
      <c r="T1115" s="8"/>
    </row>
    <row r="1116" spans="1:37" x14ac:dyDescent="0.2">
      <c r="A1116">
        <v>-105</v>
      </c>
      <c r="B1116" s="10" t="s">
        <v>47</v>
      </c>
      <c r="C1116" s="11" t="s">
        <v>2093</v>
      </c>
      <c r="D1116" s="7" t="s">
        <v>2265</v>
      </c>
      <c r="E1116" s="13">
        <v>16</v>
      </c>
      <c r="F1116" s="13">
        <v>5</v>
      </c>
      <c r="G1116" s="13">
        <f t="shared" si="49"/>
        <v>120</v>
      </c>
      <c r="H1116" s="13">
        <v>106</v>
      </c>
      <c r="I1116" s="14">
        <f t="shared" si="50"/>
        <v>-105.62739726027397</v>
      </c>
      <c r="J1116" s="7" t="s">
        <v>2266</v>
      </c>
      <c r="T1116" s="8"/>
      <c r="AC1116">
        <v>8.125</v>
      </c>
      <c r="AD1116" s="17">
        <v>8.125</v>
      </c>
      <c r="AE1116" s="16">
        <f>1000/AD1116</f>
        <v>123.07692307692308</v>
      </c>
      <c r="AF1116" s="16">
        <f>8.33*AE1116</f>
        <v>1025.2307692307693</v>
      </c>
    </row>
    <row r="1117" spans="1:37" x14ac:dyDescent="0.2">
      <c r="A1117">
        <v>-105</v>
      </c>
      <c r="B1117" s="10" t="s">
        <v>47</v>
      </c>
      <c r="C1117" s="11" t="s">
        <v>2072</v>
      </c>
      <c r="D1117" s="7" t="s">
        <v>2265</v>
      </c>
      <c r="E1117" s="13">
        <v>16</v>
      </c>
      <c r="F1117" s="13">
        <v>5</v>
      </c>
      <c r="G1117" s="13">
        <f t="shared" si="49"/>
        <v>120</v>
      </c>
      <c r="H1117" s="13">
        <v>106</v>
      </c>
      <c r="I1117" s="14">
        <f t="shared" si="50"/>
        <v>-105.62739726027397</v>
      </c>
      <c r="J1117" s="7" t="s">
        <v>2267</v>
      </c>
      <c r="K1117" s="10">
        <v>60</v>
      </c>
      <c r="L1117" s="16">
        <v>60</v>
      </c>
      <c r="M1117" s="16">
        <f>1000/L1117</f>
        <v>16.666666666666668</v>
      </c>
      <c r="N1117" s="16">
        <f>8.33*M1117</f>
        <v>138.83333333333334</v>
      </c>
      <c r="O1117" s="16">
        <f>1.613*N1117</f>
        <v>223.93816666666669</v>
      </c>
      <c r="T1117" s="8"/>
    </row>
    <row r="1118" spans="1:37" x14ac:dyDescent="0.2">
      <c r="A1118">
        <v>-105</v>
      </c>
      <c r="B1118" s="10" t="s">
        <v>47</v>
      </c>
      <c r="C1118" s="11">
        <v>7</v>
      </c>
      <c r="D1118" s="7" t="s">
        <v>2268</v>
      </c>
      <c r="E1118" s="13">
        <v>22</v>
      </c>
      <c r="F1118" s="13">
        <v>5</v>
      </c>
      <c r="G1118" s="13">
        <f t="shared" si="49"/>
        <v>120</v>
      </c>
      <c r="H1118" s="13">
        <v>106</v>
      </c>
      <c r="I1118" s="14">
        <f t="shared" si="50"/>
        <v>-105.61095890410959</v>
      </c>
      <c r="K1118" s="10">
        <v>72</v>
      </c>
      <c r="L1118" s="16">
        <v>72</v>
      </c>
      <c r="M1118" s="16">
        <f>1000/L1118</f>
        <v>13.888888888888889</v>
      </c>
      <c r="N1118" s="16">
        <f>8.33*M1118</f>
        <v>115.69444444444444</v>
      </c>
      <c r="O1118" s="16">
        <f>1.613*N1118</f>
        <v>186.61513888888888</v>
      </c>
      <c r="T1118" s="8"/>
    </row>
    <row r="1119" spans="1:37" x14ac:dyDescent="0.2">
      <c r="A1119">
        <v>-105</v>
      </c>
      <c r="B1119" s="10" t="s">
        <v>47</v>
      </c>
      <c r="C1119" s="11" t="s">
        <v>2269</v>
      </c>
      <c r="D1119" s="7" t="s">
        <v>2270</v>
      </c>
      <c r="E1119" s="13">
        <v>23</v>
      </c>
      <c r="F1119" s="13">
        <v>5</v>
      </c>
      <c r="G1119" s="13">
        <f t="shared" si="49"/>
        <v>120</v>
      </c>
      <c r="H1119" s="13">
        <v>106</v>
      </c>
      <c r="I1119" s="14">
        <f t="shared" si="50"/>
        <v>-105.60821917808219</v>
      </c>
      <c r="J1119" s="7" t="s">
        <v>2271</v>
      </c>
      <c r="K1119" s="10">
        <v>75</v>
      </c>
      <c r="L1119" s="16">
        <v>75</v>
      </c>
      <c r="M1119" s="16">
        <f>1000/L1119</f>
        <v>13.333333333333334</v>
      </c>
      <c r="N1119" s="16">
        <f>8.33*M1119</f>
        <v>111.06666666666668</v>
      </c>
      <c r="O1119" s="16">
        <f>1.613*N1119</f>
        <v>179.15053333333336</v>
      </c>
      <c r="T1119" s="8"/>
    </row>
    <row r="1120" spans="1:37" x14ac:dyDescent="0.2">
      <c r="A1120">
        <v>-105</v>
      </c>
      <c r="B1120" s="10" t="s">
        <v>47</v>
      </c>
      <c r="C1120" s="11" t="s">
        <v>2272</v>
      </c>
      <c r="D1120" s="7" t="s">
        <v>2268</v>
      </c>
      <c r="E1120" s="13">
        <v>22</v>
      </c>
      <c r="F1120" s="13">
        <v>5</v>
      </c>
      <c r="G1120" s="13">
        <f t="shared" si="49"/>
        <v>120</v>
      </c>
      <c r="H1120" s="13">
        <v>106</v>
      </c>
      <c r="I1120" s="14">
        <f t="shared" si="50"/>
        <v>-105.61095890410959</v>
      </c>
      <c r="J1120" s="7" t="s">
        <v>2273</v>
      </c>
      <c r="K1120" s="10" t="s">
        <v>311</v>
      </c>
      <c r="T1120" s="8"/>
      <c r="AK1120" t="s">
        <v>447</v>
      </c>
    </row>
    <row r="1121" spans="1:37" x14ac:dyDescent="0.2">
      <c r="A1121">
        <v>-105</v>
      </c>
      <c r="B1121" s="10" t="s">
        <v>47</v>
      </c>
      <c r="C1121" s="11" t="s">
        <v>42</v>
      </c>
      <c r="D1121" s="15" t="s">
        <v>2274</v>
      </c>
      <c r="E1121" s="13">
        <v>26</v>
      </c>
      <c r="F1121" s="13">
        <v>5</v>
      </c>
      <c r="G1121" s="13">
        <f t="shared" si="49"/>
        <v>120</v>
      </c>
      <c r="H1121" s="13">
        <v>106</v>
      </c>
      <c r="I1121" s="14">
        <f t="shared" si="50"/>
        <v>-105.6</v>
      </c>
      <c r="J1121" s="15" t="s">
        <v>2275</v>
      </c>
      <c r="T1121" s="8"/>
      <c r="Y1121">
        <v>24</v>
      </c>
      <c r="Z1121" s="17">
        <v>24</v>
      </c>
      <c r="AA1121" s="16">
        <f>1000/Z1121</f>
        <v>41.666666666666664</v>
      </c>
      <c r="AB1121" s="16">
        <f>8.33*AA1121</f>
        <v>347.08333333333331</v>
      </c>
      <c r="AK1121" t="s">
        <v>2276</v>
      </c>
    </row>
    <row r="1122" spans="1:37" x14ac:dyDescent="0.2">
      <c r="A1122">
        <v>-105</v>
      </c>
      <c r="B1122" s="10" t="s">
        <v>47</v>
      </c>
      <c r="C1122" s="11" t="s">
        <v>45</v>
      </c>
      <c r="D1122" s="15" t="s">
        <v>2277</v>
      </c>
      <c r="E1122" s="13">
        <v>5</v>
      </c>
      <c r="F1122" s="13">
        <v>6</v>
      </c>
      <c r="G1122" s="13">
        <f t="shared" si="49"/>
        <v>151</v>
      </c>
      <c r="H1122" s="13">
        <v>106</v>
      </c>
      <c r="I1122" s="14">
        <f t="shared" si="50"/>
        <v>-105.57260273972602</v>
      </c>
      <c r="J1122" s="15" t="s">
        <v>2264</v>
      </c>
      <c r="T1122" s="8"/>
      <c r="Y1122">
        <v>30</v>
      </c>
      <c r="Z1122" s="17">
        <v>30</v>
      </c>
      <c r="AA1122" s="16">
        <f>1000/Z1122</f>
        <v>33.333333333333336</v>
      </c>
      <c r="AB1122" s="16">
        <f>8.33*AA1122</f>
        <v>277.66666666666669</v>
      </c>
      <c r="AK1122" t="s">
        <v>2276</v>
      </c>
    </row>
    <row r="1123" spans="1:37" x14ac:dyDescent="0.2">
      <c r="A1123">
        <v>-105</v>
      </c>
      <c r="B1123" s="10" t="s">
        <v>65</v>
      </c>
      <c r="D1123" s="15" t="s">
        <v>2278</v>
      </c>
      <c r="E1123" s="13">
        <v>14</v>
      </c>
      <c r="F1123" s="13">
        <v>6</v>
      </c>
      <c r="G1123" s="13">
        <f t="shared" si="49"/>
        <v>151</v>
      </c>
      <c r="H1123" s="13">
        <v>106</v>
      </c>
      <c r="I1123" s="14">
        <f t="shared" si="50"/>
        <v>-105.54794520547945</v>
      </c>
      <c r="J1123" s="15" t="s">
        <v>2279</v>
      </c>
      <c r="T1123" s="8"/>
      <c r="U1123" s="1">
        <v>234</v>
      </c>
      <c r="V1123" s="9">
        <v>234</v>
      </c>
      <c r="W1123" s="8">
        <f>1000/V1123</f>
        <v>4.2735042735042734</v>
      </c>
      <c r="X1123" s="8">
        <f>8.33*W1123</f>
        <v>35.598290598290596</v>
      </c>
      <c r="Y1123" s="1">
        <v>30</v>
      </c>
      <c r="Z1123" s="9">
        <v>30</v>
      </c>
      <c r="AA1123" s="8">
        <f>1000/Z1123</f>
        <v>33.333333333333336</v>
      </c>
      <c r="AB1123" s="8">
        <f>8.33*AA1123</f>
        <v>277.66666666666669</v>
      </c>
    </row>
    <row r="1124" spans="1:37" x14ac:dyDescent="0.2">
      <c r="A1124">
        <v>-105</v>
      </c>
      <c r="B1124" s="10" t="s">
        <v>65</v>
      </c>
      <c r="C1124" s="11" t="s">
        <v>39</v>
      </c>
      <c r="D1124" s="15" t="s">
        <v>2278</v>
      </c>
      <c r="E1124" s="13">
        <v>14</v>
      </c>
      <c r="F1124" s="13">
        <v>6</v>
      </c>
      <c r="G1124" s="13">
        <f t="shared" si="49"/>
        <v>151</v>
      </c>
      <c r="H1124" s="13">
        <v>106</v>
      </c>
      <c r="I1124" s="14">
        <f t="shared" si="50"/>
        <v>-105.54794520547945</v>
      </c>
      <c r="J1124" s="15" t="s">
        <v>2279</v>
      </c>
      <c r="T1124" s="8"/>
      <c r="AC1124">
        <v>9</v>
      </c>
      <c r="AD1124" s="17">
        <v>9</v>
      </c>
      <c r="AE1124" s="16">
        <f>1000/AD1124</f>
        <v>111.11111111111111</v>
      </c>
      <c r="AF1124" s="16">
        <f>8.33*AE1124</f>
        <v>925.55555555555554</v>
      </c>
      <c r="AG1124" t="s">
        <v>41</v>
      </c>
      <c r="AH1124" s="17" t="s">
        <v>41</v>
      </c>
    </row>
    <row r="1125" spans="1:37" x14ac:dyDescent="0.2">
      <c r="A1125">
        <v>-105</v>
      </c>
      <c r="B1125" s="10" t="s">
        <v>65</v>
      </c>
      <c r="C1125" s="11" t="s">
        <v>2254</v>
      </c>
      <c r="D1125" s="7" t="s">
        <v>2278</v>
      </c>
      <c r="E1125" s="13">
        <v>14</v>
      </c>
      <c r="F1125" s="13">
        <v>6</v>
      </c>
      <c r="G1125" s="13">
        <f t="shared" si="49"/>
        <v>151</v>
      </c>
      <c r="H1125" s="13">
        <v>106</v>
      </c>
      <c r="I1125" s="14">
        <f t="shared" si="50"/>
        <v>-105.54794520547945</v>
      </c>
      <c r="J1125" s="7" t="s">
        <v>2280</v>
      </c>
      <c r="K1125" s="10">
        <v>77</v>
      </c>
      <c r="L1125" s="16">
        <v>77</v>
      </c>
      <c r="M1125" s="16">
        <f>1000/L1125</f>
        <v>12.987012987012987</v>
      </c>
      <c r="N1125" s="16">
        <f>8.33*M1125</f>
        <v>108.18181818181819</v>
      </c>
      <c r="O1125" s="16">
        <f>1.613*N1125</f>
        <v>174.49727272727273</v>
      </c>
      <c r="T1125" s="8"/>
    </row>
    <row r="1126" spans="1:37" x14ac:dyDescent="0.2">
      <c r="A1126">
        <v>-105</v>
      </c>
      <c r="B1126" s="10" t="s">
        <v>65</v>
      </c>
      <c r="C1126" s="11" t="s">
        <v>42</v>
      </c>
      <c r="D1126" s="15" t="s">
        <v>2281</v>
      </c>
      <c r="E1126" s="13">
        <v>24</v>
      </c>
      <c r="F1126" s="13">
        <v>6</v>
      </c>
      <c r="G1126" s="13">
        <f t="shared" si="49"/>
        <v>151</v>
      </c>
      <c r="H1126" s="13">
        <v>106</v>
      </c>
      <c r="I1126" s="14">
        <f t="shared" si="50"/>
        <v>-105.52054794520548</v>
      </c>
      <c r="T1126" s="8"/>
    </row>
    <row r="1127" spans="1:37" x14ac:dyDescent="0.2">
      <c r="A1127">
        <v>-105</v>
      </c>
      <c r="B1127" s="10" t="s">
        <v>65</v>
      </c>
      <c r="C1127" s="11" t="s">
        <v>45</v>
      </c>
      <c r="D1127" s="15" t="s">
        <v>2282</v>
      </c>
      <c r="E1127" s="13">
        <v>4</v>
      </c>
      <c r="F1127" s="13">
        <v>7</v>
      </c>
      <c r="G1127" s="13">
        <f t="shared" si="49"/>
        <v>181</v>
      </c>
      <c r="H1127" s="13">
        <v>106</v>
      </c>
      <c r="I1127" s="14">
        <f t="shared" si="50"/>
        <v>-105.49315068493151</v>
      </c>
      <c r="J1127" s="15" t="s">
        <v>2279</v>
      </c>
      <c r="T1127" s="8"/>
      <c r="AC1127">
        <v>10</v>
      </c>
      <c r="AD1127" s="17">
        <v>10</v>
      </c>
      <c r="AE1127" s="16">
        <f>1000/AD1127</f>
        <v>100</v>
      </c>
      <c r="AF1127" s="16">
        <f>8.33*AE1127</f>
        <v>833</v>
      </c>
    </row>
    <row r="1128" spans="1:37" x14ac:dyDescent="0.2">
      <c r="A1128">
        <v>-105</v>
      </c>
      <c r="B1128" s="10" t="s">
        <v>285</v>
      </c>
      <c r="D1128" s="15" t="s">
        <v>2283</v>
      </c>
      <c r="E1128" s="13">
        <v>12</v>
      </c>
      <c r="F1128" s="13">
        <v>8</v>
      </c>
      <c r="G1128" s="13">
        <f t="shared" si="49"/>
        <v>212</v>
      </c>
      <c r="H1128" s="13">
        <v>106</v>
      </c>
      <c r="I1128" s="14">
        <f t="shared" si="50"/>
        <v>-105.38630136986302</v>
      </c>
      <c r="J1128" s="15" t="s">
        <v>2284</v>
      </c>
      <c r="T1128" s="8"/>
      <c r="U1128" s="1">
        <v>225</v>
      </c>
      <c r="V1128" s="9">
        <v>225</v>
      </c>
      <c r="W1128" s="8">
        <f>1000/V1128</f>
        <v>4.4444444444444446</v>
      </c>
      <c r="X1128" s="8">
        <f>8.33*W1128</f>
        <v>37.022222222222226</v>
      </c>
      <c r="Y1128" s="1">
        <v>24</v>
      </c>
      <c r="Z1128" s="9">
        <v>24</v>
      </c>
      <c r="AA1128" s="8">
        <f>1000/Z1128</f>
        <v>41.666666666666664</v>
      </c>
      <c r="AB1128" s="8">
        <f>8.33*AA1128</f>
        <v>347.08333333333331</v>
      </c>
      <c r="AG1128" s="1">
        <v>1.75</v>
      </c>
      <c r="AH1128" s="9">
        <v>1.75</v>
      </c>
      <c r="AI1128" s="8">
        <f>1/AH1128</f>
        <v>0.5714285714285714</v>
      </c>
      <c r="AJ1128" s="8">
        <f>8.33*AI1128</f>
        <v>4.76</v>
      </c>
    </row>
    <row r="1129" spans="1:37" x14ac:dyDescent="0.2">
      <c r="A1129">
        <v>-105</v>
      </c>
      <c r="B1129" s="10" t="s">
        <v>285</v>
      </c>
      <c r="C1129" s="11" t="s">
        <v>39</v>
      </c>
      <c r="D1129" s="15" t="s">
        <v>2283</v>
      </c>
      <c r="E1129" s="13">
        <v>12</v>
      </c>
      <c r="F1129" s="13">
        <v>8</v>
      </c>
      <c r="G1129" s="13">
        <f t="shared" si="49"/>
        <v>212</v>
      </c>
      <c r="H1129" s="13">
        <v>106</v>
      </c>
      <c r="I1129" s="14">
        <f t="shared" si="50"/>
        <v>-105.38630136986302</v>
      </c>
      <c r="J1129" s="15" t="s">
        <v>2285</v>
      </c>
      <c r="K1129" s="10">
        <v>81</v>
      </c>
      <c r="L1129" s="16">
        <v>81</v>
      </c>
      <c r="M1129" s="16">
        <f>1000/L1129</f>
        <v>12.345679012345679</v>
      </c>
      <c r="N1129" s="16">
        <f>8.33*M1129</f>
        <v>102.83950617283951</v>
      </c>
      <c r="O1129" s="16">
        <f>1.613*N1129</f>
        <v>165.88012345679013</v>
      </c>
      <c r="P1129">
        <v>60</v>
      </c>
      <c r="Q1129" s="17">
        <v>60</v>
      </c>
      <c r="R1129" s="16">
        <f>1000/Q1129</f>
        <v>16.666666666666668</v>
      </c>
      <c r="S1129" s="16">
        <f>8.33*R1129</f>
        <v>138.83333333333334</v>
      </c>
      <c r="T1129" s="16">
        <f>S1129*1.33</f>
        <v>184.64833333333337</v>
      </c>
      <c r="AC1129" t="s">
        <v>2286</v>
      </c>
      <c r="AD1129" s="20">
        <v>8</v>
      </c>
      <c r="AE1129" s="19">
        <f>1000/AD1129</f>
        <v>125</v>
      </c>
      <c r="AF1129" s="19">
        <f>8.33*AE1129</f>
        <v>1041.25</v>
      </c>
    </row>
    <row r="1130" spans="1:37" x14ac:dyDescent="0.2">
      <c r="A1130">
        <v>-105</v>
      </c>
      <c r="B1130" s="10" t="s">
        <v>285</v>
      </c>
      <c r="C1130" s="11" t="s">
        <v>42</v>
      </c>
      <c r="D1130" s="15" t="s">
        <v>2287</v>
      </c>
      <c r="E1130" s="13">
        <v>22</v>
      </c>
      <c r="F1130" s="13">
        <v>8</v>
      </c>
      <c r="G1130" s="13">
        <f t="shared" si="49"/>
        <v>212</v>
      </c>
      <c r="H1130" s="13">
        <v>106</v>
      </c>
      <c r="I1130" s="14">
        <f t="shared" si="50"/>
        <v>-105.35890410958905</v>
      </c>
      <c r="J1130" s="15" t="s">
        <v>2288</v>
      </c>
      <c r="K1130" s="10" t="s">
        <v>41</v>
      </c>
      <c r="P1130">
        <v>57</v>
      </c>
      <c r="Q1130" s="17">
        <v>57</v>
      </c>
      <c r="R1130" s="16">
        <f>1000/Q1130</f>
        <v>17.543859649122808</v>
      </c>
      <c r="S1130" s="16">
        <f>8.33*R1130</f>
        <v>146.14035087719299</v>
      </c>
      <c r="T1130" s="16">
        <f>S1130*1.33</f>
        <v>194.36666666666667</v>
      </c>
      <c r="AC1130">
        <v>8.125</v>
      </c>
      <c r="AD1130" s="17">
        <v>8.125</v>
      </c>
      <c r="AE1130" s="16">
        <f>1000/AD1130</f>
        <v>123.07692307692308</v>
      </c>
      <c r="AF1130" s="16">
        <f>8.33*AE1130</f>
        <v>1025.2307692307693</v>
      </c>
    </row>
    <row r="1131" spans="1:37" x14ac:dyDescent="0.2">
      <c r="A1131">
        <v>-105</v>
      </c>
      <c r="B1131" s="10" t="s">
        <v>285</v>
      </c>
      <c r="C1131" s="11" t="s">
        <v>45</v>
      </c>
      <c r="D1131" s="15" t="s">
        <v>2289</v>
      </c>
      <c r="E1131" s="13">
        <v>1</v>
      </c>
      <c r="F1131" s="13">
        <v>9</v>
      </c>
      <c r="G1131" s="13">
        <f t="shared" si="49"/>
        <v>243</v>
      </c>
      <c r="H1131" s="13">
        <v>106</v>
      </c>
      <c r="I1131" s="14">
        <f t="shared" si="50"/>
        <v>-105.33150684931506</v>
      </c>
      <c r="J1131" s="15" t="s">
        <v>2284</v>
      </c>
      <c r="K1131" s="10">
        <v>77</v>
      </c>
      <c r="L1131" s="16">
        <v>77</v>
      </c>
      <c r="M1131" s="16">
        <f>1000/L1131</f>
        <v>12.987012987012987</v>
      </c>
      <c r="N1131" s="16">
        <f>8.33*M1131</f>
        <v>108.18181818181819</v>
      </c>
      <c r="O1131" s="16">
        <f>1.613*N1131</f>
        <v>174.49727272727273</v>
      </c>
      <c r="P1131">
        <v>64</v>
      </c>
      <c r="Q1131" s="17">
        <v>64</v>
      </c>
      <c r="R1131" s="16">
        <f>1000/Q1131</f>
        <v>15.625</v>
      </c>
      <c r="S1131" s="16">
        <f>8.33*R1131</f>
        <v>130.15625</v>
      </c>
      <c r="T1131" s="16">
        <f>S1131*1.33</f>
        <v>173.10781250000002</v>
      </c>
      <c r="AC1131">
        <v>9</v>
      </c>
      <c r="AD1131" s="17">
        <v>9</v>
      </c>
      <c r="AE1131" s="16">
        <f>1000/AD1131</f>
        <v>111.11111111111111</v>
      </c>
      <c r="AF1131" s="16">
        <f>8.33*AE1131</f>
        <v>925.55555555555554</v>
      </c>
    </row>
    <row r="1132" spans="1:37" x14ac:dyDescent="0.2">
      <c r="A1132">
        <v>-105</v>
      </c>
      <c r="B1132" s="10" t="s">
        <v>72</v>
      </c>
      <c r="D1132" s="15" t="s">
        <v>2290</v>
      </c>
      <c r="E1132" s="13">
        <v>10</v>
      </c>
      <c r="F1132" s="13">
        <v>9</v>
      </c>
      <c r="G1132" s="13">
        <f t="shared" si="49"/>
        <v>243</v>
      </c>
      <c r="H1132" s="13">
        <v>106</v>
      </c>
      <c r="I1132" s="14">
        <f t="shared" si="50"/>
        <v>-105.30684931506849</v>
      </c>
      <c r="J1132" s="15" t="s">
        <v>2291</v>
      </c>
      <c r="K1132" s="10">
        <v>81</v>
      </c>
      <c r="L1132" s="16">
        <v>81</v>
      </c>
      <c r="M1132" s="16">
        <f>1000/L1132</f>
        <v>12.345679012345679</v>
      </c>
      <c r="N1132" s="16">
        <f>8.33*M1132</f>
        <v>102.83950617283951</v>
      </c>
      <c r="O1132" s="16">
        <f>1.613*N1132</f>
        <v>165.88012345679013</v>
      </c>
      <c r="U1132" s="1">
        <v>180</v>
      </c>
      <c r="V1132" s="9">
        <v>180</v>
      </c>
      <c r="W1132" s="8">
        <f>1000/V1132</f>
        <v>5.5555555555555554</v>
      </c>
      <c r="X1132" s="8">
        <f>8.33*W1132</f>
        <v>46.277777777777779</v>
      </c>
      <c r="Y1132" s="1" t="s">
        <v>1014</v>
      </c>
      <c r="Z1132" s="21">
        <v>18</v>
      </c>
      <c r="AA1132" s="22">
        <f>1000/Z1132</f>
        <v>55.555555555555557</v>
      </c>
      <c r="AB1132" s="22">
        <f>8.33*AA1132</f>
        <v>462.77777777777777</v>
      </c>
      <c r="AG1132" s="1">
        <v>1.5</v>
      </c>
      <c r="AH1132" s="9">
        <v>1.5</v>
      </c>
      <c r="AI1132" s="8">
        <f>1/AH1132</f>
        <v>0.66666666666666663</v>
      </c>
      <c r="AJ1132" s="8">
        <f>8.33*AI1132</f>
        <v>5.5533333333333328</v>
      </c>
      <c r="AK1132" t="s">
        <v>2292</v>
      </c>
    </row>
    <row r="1133" spans="1:37" x14ac:dyDescent="0.2">
      <c r="A1133">
        <v>-105</v>
      </c>
      <c r="B1133" s="10" t="s">
        <v>72</v>
      </c>
      <c r="C1133" s="11" t="s">
        <v>39</v>
      </c>
      <c r="D1133" s="15" t="s">
        <v>2290</v>
      </c>
      <c r="E1133" s="13">
        <v>10</v>
      </c>
      <c r="F1133" s="13">
        <v>9</v>
      </c>
      <c r="G1133" s="13">
        <f t="shared" si="49"/>
        <v>243</v>
      </c>
      <c r="H1133" s="13">
        <v>106</v>
      </c>
      <c r="I1133" s="14">
        <f t="shared" si="50"/>
        <v>-105.30684931506849</v>
      </c>
      <c r="J1133" s="15" t="s">
        <v>2293</v>
      </c>
      <c r="P1133" t="s">
        <v>41</v>
      </c>
      <c r="AC1133">
        <v>8</v>
      </c>
      <c r="AD1133" s="17">
        <v>8</v>
      </c>
      <c r="AE1133" s="16">
        <f>1000/AD1133</f>
        <v>125</v>
      </c>
      <c r="AF1133" s="16">
        <f>8.33*AE1133</f>
        <v>1041.25</v>
      </c>
    </row>
    <row r="1134" spans="1:37" x14ac:dyDescent="0.2">
      <c r="A1134">
        <v>-105</v>
      </c>
      <c r="B1134" s="10" t="s">
        <v>72</v>
      </c>
      <c r="C1134" s="11" t="s">
        <v>42</v>
      </c>
      <c r="D1134" s="15" t="s">
        <v>2294</v>
      </c>
      <c r="E1134" s="13">
        <v>20</v>
      </c>
      <c r="F1134" s="13">
        <v>9</v>
      </c>
      <c r="G1134" s="13">
        <f t="shared" si="49"/>
        <v>243</v>
      </c>
      <c r="H1134" s="13">
        <v>106</v>
      </c>
      <c r="I1134" s="14">
        <f t="shared" si="50"/>
        <v>-105.27945205479452</v>
      </c>
      <c r="J1134" s="15" t="s">
        <v>2295</v>
      </c>
    </row>
    <row r="1135" spans="1:37" x14ac:dyDescent="0.2">
      <c r="A1135">
        <v>-105</v>
      </c>
      <c r="B1135" s="10" t="s">
        <v>72</v>
      </c>
      <c r="C1135" s="11" t="s">
        <v>45</v>
      </c>
      <c r="D1135" s="15" t="s">
        <v>2296</v>
      </c>
      <c r="E1135" s="13">
        <v>30</v>
      </c>
      <c r="F1135" s="13">
        <v>9</v>
      </c>
      <c r="G1135" s="13">
        <f t="shared" si="49"/>
        <v>243</v>
      </c>
      <c r="H1135" s="13">
        <v>106</v>
      </c>
      <c r="I1135" s="14">
        <f t="shared" si="50"/>
        <v>-105.25205479452055</v>
      </c>
      <c r="J1135" s="15" t="s">
        <v>2291</v>
      </c>
      <c r="AC1135">
        <v>9.5</v>
      </c>
      <c r="AD1135" s="17">
        <v>9.5</v>
      </c>
      <c r="AE1135" s="16">
        <f>1000/AD1135</f>
        <v>105.26315789473684</v>
      </c>
      <c r="AF1135" s="16">
        <f>8.33*AE1135</f>
        <v>876.8421052631578</v>
      </c>
    </row>
    <row r="1136" spans="1:37" x14ac:dyDescent="0.2">
      <c r="A1136">
        <v>-105</v>
      </c>
      <c r="B1136" s="10" t="s">
        <v>91</v>
      </c>
      <c r="D1136" s="15" t="s">
        <v>2297</v>
      </c>
      <c r="E1136" s="13">
        <v>10</v>
      </c>
      <c r="F1136" s="13">
        <v>10</v>
      </c>
      <c r="G1136" s="13">
        <f t="shared" si="49"/>
        <v>273</v>
      </c>
      <c r="H1136" s="13">
        <v>106</v>
      </c>
      <c r="I1136" s="14">
        <f t="shared" si="50"/>
        <v>-105.22465753424657</v>
      </c>
      <c r="J1136" s="15" t="s">
        <v>2298</v>
      </c>
      <c r="Y1136" s="1">
        <v>24</v>
      </c>
      <c r="Z1136" s="9">
        <v>24</v>
      </c>
      <c r="AA1136" s="8">
        <f>1000/Z1136</f>
        <v>41.666666666666664</v>
      </c>
      <c r="AB1136" s="8">
        <f>8.33*AA1136</f>
        <v>347.08333333333331</v>
      </c>
      <c r="AC1136" t="s">
        <v>41</v>
      </c>
    </row>
    <row r="1137" spans="1:32" x14ac:dyDescent="0.2">
      <c r="A1137">
        <v>-104</v>
      </c>
      <c r="B1137" s="10" t="s">
        <v>72</v>
      </c>
      <c r="D1137" s="15" t="s">
        <v>2299</v>
      </c>
      <c r="E1137" s="13">
        <v>30</v>
      </c>
      <c r="F1137" s="13">
        <v>8</v>
      </c>
      <c r="G1137" s="13">
        <f t="shared" si="49"/>
        <v>212</v>
      </c>
      <c r="H1137" s="13">
        <v>105</v>
      </c>
      <c r="I1137" s="14">
        <f t="shared" si="50"/>
        <v>-104.33698630136986</v>
      </c>
      <c r="J1137" s="15" t="s">
        <v>2300</v>
      </c>
      <c r="Y1137" s="1"/>
      <c r="Z1137" s="9"/>
      <c r="AC1137" s="1">
        <v>9.5</v>
      </c>
      <c r="AD1137" s="9">
        <v>9.5</v>
      </c>
      <c r="AE1137" s="8">
        <f>1000/AD1137</f>
        <v>105.26315789473684</v>
      </c>
      <c r="AF1137" s="8">
        <f>8.33*AE1137</f>
        <v>876.8421052631578</v>
      </c>
    </row>
    <row r="1138" spans="1:32" x14ac:dyDescent="0.2">
      <c r="A1138">
        <v>-104</v>
      </c>
      <c r="B1138" s="10" t="s">
        <v>72</v>
      </c>
      <c r="C1138" s="11" t="s">
        <v>39</v>
      </c>
      <c r="D1138" s="15" t="s">
        <v>2299</v>
      </c>
      <c r="E1138" s="13">
        <v>30</v>
      </c>
      <c r="F1138" s="13">
        <v>8</v>
      </c>
      <c r="G1138" s="13">
        <f t="shared" si="49"/>
        <v>212</v>
      </c>
      <c r="H1138" s="13">
        <v>105</v>
      </c>
      <c r="I1138" s="14">
        <f t="shared" si="50"/>
        <v>-104.33698630136986</v>
      </c>
      <c r="J1138" s="15" t="s">
        <v>2301</v>
      </c>
      <c r="Y1138" s="1"/>
      <c r="Z1138" s="9"/>
    </row>
    <row r="1139" spans="1:32" x14ac:dyDescent="0.2">
      <c r="A1139">
        <v>-104</v>
      </c>
      <c r="B1139" s="10" t="s">
        <v>72</v>
      </c>
      <c r="C1139" s="11" t="s">
        <v>1628</v>
      </c>
      <c r="D1139" s="7" t="s">
        <v>2299</v>
      </c>
      <c r="E1139" s="13">
        <v>30</v>
      </c>
      <c r="F1139" s="13">
        <v>8</v>
      </c>
      <c r="G1139" s="13">
        <f t="shared" si="49"/>
        <v>212</v>
      </c>
      <c r="H1139" s="13">
        <v>105</v>
      </c>
      <c r="I1139" s="14">
        <f t="shared" si="50"/>
        <v>-104.33698630136986</v>
      </c>
      <c r="J1139" s="7" t="s">
        <v>2302</v>
      </c>
      <c r="P1139">
        <v>72</v>
      </c>
      <c r="Q1139" s="17">
        <v>72</v>
      </c>
      <c r="R1139" s="16">
        <f>1000/Q1139</f>
        <v>13.888888888888889</v>
      </c>
      <c r="S1139" s="16">
        <f>8.33*R1139</f>
        <v>115.69444444444444</v>
      </c>
      <c r="T1139" s="16">
        <f>S1139*1.33</f>
        <v>153.87361111111113</v>
      </c>
    </row>
    <row r="1140" spans="1:32" x14ac:dyDescent="0.2">
      <c r="A1140">
        <v>-104</v>
      </c>
      <c r="B1140" s="10" t="s">
        <v>72</v>
      </c>
      <c r="C1140" s="11" t="s">
        <v>2072</v>
      </c>
      <c r="D1140" s="7" t="s">
        <v>2299</v>
      </c>
      <c r="E1140" s="13">
        <v>30</v>
      </c>
      <c r="F1140" s="13">
        <v>8</v>
      </c>
      <c r="G1140" s="13">
        <f t="shared" si="49"/>
        <v>212</v>
      </c>
      <c r="H1140" s="13">
        <v>105</v>
      </c>
      <c r="I1140" s="14">
        <f t="shared" si="50"/>
        <v>-104.33698630136986</v>
      </c>
      <c r="J1140" s="7" t="s">
        <v>2303</v>
      </c>
      <c r="K1140" s="10">
        <v>75</v>
      </c>
      <c r="L1140" s="16">
        <v>75</v>
      </c>
      <c r="M1140" s="16">
        <f>1000/L1140</f>
        <v>13.333333333333334</v>
      </c>
      <c r="N1140" s="16">
        <f>8.33*M1140</f>
        <v>111.06666666666668</v>
      </c>
      <c r="O1140" s="16">
        <f>1.613*N1140</f>
        <v>179.15053333333336</v>
      </c>
    </row>
    <row r="1141" spans="1:32" x14ac:dyDescent="0.2">
      <c r="A1141">
        <v>-104</v>
      </c>
      <c r="B1141" s="10" t="s">
        <v>72</v>
      </c>
      <c r="C1141" s="11" t="s">
        <v>2304</v>
      </c>
      <c r="D1141" s="7" t="s">
        <v>2305</v>
      </c>
      <c r="E1141" s="13">
        <v>1</v>
      </c>
      <c r="F1141" s="13">
        <v>9</v>
      </c>
      <c r="G1141" s="13">
        <f t="shared" si="49"/>
        <v>243</v>
      </c>
      <c r="H1141" s="13">
        <v>105</v>
      </c>
      <c r="I1141" s="14">
        <f t="shared" si="50"/>
        <v>-104.33150684931506</v>
      </c>
      <c r="J1141" s="7" t="s">
        <v>2301</v>
      </c>
      <c r="P1141">
        <v>66</v>
      </c>
      <c r="Q1141" s="17">
        <v>66</v>
      </c>
      <c r="R1141" s="16">
        <f>1000/Q1141</f>
        <v>15.151515151515152</v>
      </c>
      <c r="S1141" s="16">
        <f>8.33*R1141</f>
        <v>126.21212121212122</v>
      </c>
      <c r="T1141" s="16">
        <f>S1141*1.33</f>
        <v>167.86212121212122</v>
      </c>
    </row>
    <row r="1142" spans="1:32" x14ac:dyDescent="0.2">
      <c r="A1142">
        <v>-104</v>
      </c>
      <c r="B1142" s="10" t="s">
        <v>72</v>
      </c>
      <c r="C1142" s="11" t="s">
        <v>42</v>
      </c>
      <c r="D1142" s="15" t="s">
        <v>2306</v>
      </c>
      <c r="E1142" s="13">
        <v>9</v>
      </c>
      <c r="F1142" s="13">
        <v>9</v>
      </c>
      <c r="G1142" s="13">
        <f t="shared" si="49"/>
        <v>243</v>
      </c>
      <c r="H1142" s="13">
        <v>105</v>
      </c>
      <c r="I1142" s="14">
        <f t="shared" si="50"/>
        <v>-104.30958904109589</v>
      </c>
      <c r="J1142" s="15" t="s">
        <v>2307</v>
      </c>
      <c r="T1142" s="8"/>
    </row>
    <row r="1143" spans="1:32" x14ac:dyDescent="0.2">
      <c r="A1143">
        <v>-104</v>
      </c>
      <c r="B1143" s="10" t="s">
        <v>72</v>
      </c>
      <c r="C1143" s="11" t="s">
        <v>45</v>
      </c>
      <c r="D1143" s="15" t="s">
        <v>2308</v>
      </c>
      <c r="E1143" s="13">
        <v>19</v>
      </c>
      <c r="F1143" s="13">
        <v>9</v>
      </c>
      <c r="G1143" s="13">
        <f t="shared" si="49"/>
        <v>243</v>
      </c>
      <c r="H1143" s="13">
        <v>105</v>
      </c>
      <c r="I1143" s="14">
        <f t="shared" si="50"/>
        <v>-104.28219178082192</v>
      </c>
      <c r="J1143" s="15" t="s">
        <v>2300</v>
      </c>
      <c r="T1143" s="8"/>
    </row>
    <row r="1144" spans="1:32" x14ac:dyDescent="0.2">
      <c r="A1144">
        <v>-103</v>
      </c>
      <c r="B1144" s="10" t="s">
        <v>47</v>
      </c>
      <c r="D1144" s="15" t="s">
        <v>2309</v>
      </c>
      <c r="E1144" s="13">
        <v>24</v>
      </c>
      <c r="F1144" s="13">
        <v>4</v>
      </c>
      <c r="G1144" s="13">
        <f t="shared" si="49"/>
        <v>90</v>
      </c>
      <c r="H1144" s="13">
        <v>104</v>
      </c>
      <c r="I1144" s="14">
        <f t="shared" si="50"/>
        <v>-103.68767123287671</v>
      </c>
      <c r="J1144" s="15" t="s">
        <v>2310</v>
      </c>
      <c r="T1144" s="8"/>
      <c r="U1144" s="1">
        <v>270</v>
      </c>
      <c r="V1144" s="9">
        <v>270</v>
      </c>
      <c r="W1144" s="8">
        <f>1000/V1144</f>
        <v>3.7037037037037037</v>
      </c>
      <c r="X1144" s="8">
        <f>8.33*W1144</f>
        <v>30.851851851851851</v>
      </c>
      <c r="Y1144" s="1" t="s">
        <v>2311</v>
      </c>
      <c r="Z1144" s="9">
        <v>9</v>
      </c>
      <c r="AA1144" s="8">
        <f>1000/Z1144</f>
        <v>111.11111111111111</v>
      </c>
      <c r="AB1144" s="8">
        <f>8.33*AA1144</f>
        <v>925.55555555555554</v>
      </c>
    </row>
    <row r="1145" spans="1:32" x14ac:dyDescent="0.2">
      <c r="A1145">
        <v>-103</v>
      </c>
      <c r="B1145" s="10" t="s">
        <v>47</v>
      </c>
      <c r="C1145" s="11" t="s">
        <v>39</v>
      </c>
      <c r="D1145" s="15" t="s">
        <v>2309</v>
      </c>
      <c r="E1145" s="13">
        <v>24</v>
      </c>
      <c r="F1145" s="13">
        <v>4</v>
      </c>
      <c r="G1145" s="13">
        <f t="shared" si="49"/>
        <v>90</v>
      </c>
      <c r="H1145" s="13">
        <v>104</v>
      </c>
      <c r="I1145" s="14">
        <f t="shared" si="50"/>
        <v>-103.68767123287671</v>
      </c>
      <c r="J1145" s="15" t="s">
        <v>2312</v>
      </c>
      <c r="K1145" s="10" t="s">
        <v>1355</v>
      </c>
      <c r="T1145" s="8"/>
    </row>
    <row r="1146" spans="1:32" x14ac:dyDescent="0.2">
      <c r="A1146">
        <v>-103</v>
      </c>
      <c r="B1146" s="10" t="s">
        <v>47</v>
      </c>
      <c r="C1146" s="11" t="s">
        <v>2176</v>
      </c>
      <c r="D1146" s="7" t="s">
        <v>2309</v>
      </c>
      <c r="E1146" s="13">
        <v>24</v>
      </c>
      <c r="F1146" s="13">
        <v>4</v>
      </c>
      <c r="G1146" s="13">
        <f t="shared" si="49"/>
        <v>90</v>
      </c>
      <c r="H1146" s="13">
        <v>104</v>
      </c>
      <c r="I1146" s="14">
        <f t="shared" si="50"/>
        <v>-103.68767123287671</v>
      </c>
      <c r="J1146" s="7" t="s">
        <v>2313</v>
      </c>
      <c r="K1146" s="10" t="s">
        <v>41</v>
      </c>
      <c r="T1146" s="8"/>
    </row>
    <row r="1147" spans="1:32" x14ac:dyDescent="0.2">
      <c r="A1147">
        <v>-103</v>
      </c>
      <c r="B1147" s="10" t="s">
        <v>47</v>
      </c>
      <c r="C1147" s="11" t="s">
        <v>42</v>
      </c>
      <c r="D1147" s="26" t="s">
        <v>2313</v>
      </c>
      <c r="E1147" s="13">
        <v>4</v>
      </c>
      <c r="F1147" s="13">
        <v>5</v>
      </c>
      <c r="G1147" s="13">
        <f t="shared" si="49"/>
        <v>120</v>
      </c>
      <c r="H1147" s="13">
        <v>104</v>
      </c>
      <c r="I1147" s="14">
        <f t="shared" si="50"/>
        <v>-103.66027397260274</v>
      </c>
      <c r="J1147" s="26" t="s">
        <v>2314</v>
      </c>
      <c r="T1147" s="8"/>
    </row>
    <row r="1148" spans="1:32" x14ac:dyDescent="0.2">
      <c r="A1148">
        <v>-103</v>
      </c>
      <c r="B1148" s="10" t="s">
        <v>47</v>
      </c>
      <c r="C1148" s="11" t="s">
        <v>2315</v>
      </c>
      <c r="D1148" s="7" t="s">
        <v>2316</v>
      </c>
      <c r="E1148" s="13">
        <v>5</v>
      </c>
      <c r="F1148" s="13">
        <v>5</v>
      </c>
      <c r="G1148" s="13">
        <f t="shared" si="49"/>
        <v>120</v>
      </c>
      <c r="H1148" s="13">
        <v>104</v>
      </c>
      <c r="I1148" s="14">
        <f t="shared" si="50"/>
        <v>-103.65753424657534</v>
      </c>
      <c r="J1148" s="25" t="s">
        <v>2317</v>
      </c>
      <c r="P1148">
        <v>84</v>
      </c>
      <c r="Q1148" s="17">
        <v>84</v>
      </c>
      <c r="R1148" s="16">
        <f>1000/Q1148</f>
        <v>11.904761904761905</v>
      </c>
      <c r="S1148" s="16">
        <f>8.33*R1148</f>
        <v>99.166666666666671</v>
      </c>
      <c r="T1148" s="16">
        <f>S1148*1.33</f>
        <v>131.89166666666668</v>
      </c>
    </row>
    <row r="1149" spans="1:32" x14ac:dyDescent="0.2">
      <c r="A1149">
        <v>-103</v>
      </c>
      <c r="B1149" s="10" t="s">
        <v>47</v>
      </c>
      <c r="C1149" s="11" t="s">
        <v>1669</v>
      </c>
      <c r="D1149" s="25" t="s">
        <v>2318</v>
      </c>
      <c r="E1149" s="13">
        <v>9</v>
      </c>
      <c r="F1149" s="13">
        <v>5</v>
      </c>
      <c r="G1149" s="13">
        <f t="shared" si="49"/>
        <v>120</v>
      </c>
      <c r="H1149" s="13">
        <v>104</v>
      </c>
      <c r="I1149" s="14">
        <f t="shared" si="50"/>
        <v>-103.64657534246575</v>
      </c>
      <c r="J1149" s="7" t="s">
        <v>2314</v>
      </c>
      <c r="P1149">
        <v>81</v>
      </c>
      <c r="Q1149" s="17">
        <v>81</v>
      </c>
      <c r="R1149" s="16">
        <f>1000/Q1149</f>
        <v>12.345679012345679</v>
      </c>
      <c r="S1149" s="16">
        <f>8.33*R1149</f>
        <v>102.83950617283951</v>
      </c>
      <c r="T1149" s="16">
        <f>S1149*1.33</f>
        <v>136.77654320987656</v>
      </c>
    </row>
    <row r="1150" spans="1:32" x14ac:dyDescent="0.2">
      <c r="A1150">
        <v>-103</v>
      </c>
      <c r="B1150" s="10" t="s">
        <v>47</v>
      </c>
      <c r="C1150" s="11" t="s">
        <v>45</v>
      </c>
      <c r="D1150" s="15" t="s">
        <v>2319</v>
      </c>
      <c r="E1150" s="13">
        <v>14</v>
      </c>
      <c r="F1150" s="13">
        <v>5</v>
      </c>
      <c r="G1150" s="13">
        <f t="shared" si="49"/>
        <v>120</v>
      </c>
      <c r="H1150" s="13">
        <v>104</v>
      </c>
      <c r="I1150" s="14">
        <f t="shared" si="50"/>
        <v>-103.63287671232877</v>
      </c>
      <c r="J1150" s="15" t="s">
        <v>2310</v>
      </c>
    </row>
    <row r="1151" spans="1:32" x14ac:dyDescent="0.2">
      <c r="A1151">
        <v>-103</v>
      </c>
      <c r="B1151" s="10" t="s">
        <v>47</v>
      </c>
      <c r="C1151" s="11" t="s">
        <v>2320</v>
      </c>
      <c r="D1151" s="7" t="s">
        <v>2319</v>
      </c>
      <c r="E1151" s="13">
        <v>14</v>
      </c>
      <c r="F1151" s="13">
        <v>5</v>
      </c>
      <c r="G1151" s="13">
        <f t="shared" si="49"/>
        <v>120</v>
      </c>
      <c r="H1151" s="13">
        <v>104</v>
      </c>
      <c r="I1151" s="14">
        <f t="shared" si="50"/>
        <v>-103.63287671232877</v>
      </c>
      <c r="J1151" s="7" t="s">
        <v>2310</v>
      </c>
      <c r="P1151">
        <v>84</v>
      </c>
      <c r="Q1151" s="17">
        <v>84</v>
      </c>
      <c r="R1151" s="16">
        <f>1000/Q1151</f>
        <v>11.904761904761905</v>
      </c>
      <c r="S1151" s="16">
        <f>8.33*R1151</f>
        <v>99.166666666666671</v>
      </c>
      <c r="T1151" s="16">
        <f>S1151*1.33</f>
        <v>131.89166666666668</v>
      </c>
    </row>
    <row r="1152" spans="1:32" x14ac:dyDescent="0.2">
      <c r="A1152">
        <v>-103</v>
      </c>
      <c r="B1152" s="10" t="s">
        <v>94</v>
      </c>
      <c r="C1152" s="11" t="s">
        <v>39</v>
      </c>
      <c r="D1152" s="15" t="s">
        <v>2321</v>
      </c>
      <c r="E1152" s="13">
        <v>16</v>
      </c>
      <c r="F1152" s="13">
        <v>11</v>
      </c>
      <c r="G1152" s="13">
        <f t="shared" si="49"/>
        <v>304</v>
      </c>
      <c r="H1152" s="13">
        <v>104</v>
      </c>
      <c r="I1152" s="14">
        <f t="shared" si="50"/>
        <v>-103.12328767123287</v>
      </c>
      <c r="J1152" s="15" t="s">
        <v>2322</v>
      </c>
    </row>
    <row r="1153" spans="1:37" x14ac:dyDescent="0.2">
      <c r="A1153">
        <v>-103</v>
      </c>
      <c r="B1153" s="10" t="s">
        <v>94</v>
      </c>
      <c r="C1153" s="11" t="s">
        <v>2072</v>
      </c>
      <c r="D1153" s="7" t="s">
        <v>2321</v>
      </c>
      <c r="E1153" s="13">
        <v>16</v>
      </c>
      <c r="F1153" s="13">
        <v>11</v>
      </c>
      <c r="G1153" s="13">
        <f t="shared" si="49"/>
        <v>304</v>
      </c>
      <c r="H1153" s="13">
        <v>104</v>
      </c>
      <c r="I1153" s="14">
        <f t="shared" si="50"/>
        <v>-103.12328767123287</v>
      </c>
      <c r="J1153" s="7" t="s">
        <v>2323</v>
      </c>
      <c r="K1153" s="10" t="s">
        <v>208</v>
      </c>
    </row>
    <row r="1154" spans="1:37" x14ac:dyDescent="0.2">
      <c r="A1154">
        <v>-103</v>
      </c>
      <c r="B1154" s="10" t="s">
        <v>94</v>
      </c>
      <c r="C1154" s="11" t="s">
        <v>2324</v>
      </c>
      <c r="D1154" s="7" t="s">
        <v>2322</v>
      </c>
      <c r="E1154" s="13">
        <v>25</v>
      </c>
      <c r="F1154" s="13">
        <v>11</v>
      </c>
      <c r="G1154" s="13">
        <f t="shared" ref="G1154:G1217" si="51">INDEX(A$1502:A$1513,F1154)</f>
        <v>304</v>
      </c>
      <c r="H1154" s="13">
        <v>104</v>
      </c>
      <c r="I1154" s="14">
        <f t="shared" si="50"/>
        <v>-103.0986301369863</v>
      </c>
      <c r="J1154" s="7" t="s">
        <v>2325</v>
      </c>
      <c r="AC1154">
        <v>12</v>
      </c>
      <c r="AD1154" s="17">
        <v>12</v>
      </c>
      <c r="AE1154" s="16">
        <f>1000/AD1154</f>
        <v>83.333333333333329</v>
      </c>
      <c r="AF1154" s="16">
        <f>8.33*AE1154</f>
        <v>694.16666666666663</v>
      </c>
    </row>
    <row r="1155" spans="1:37" x14ac:dyDescent="0.2">
      <c r="A1155">
        <v>-103</v>
      </c>
      <c r="B1155" s="10" t="s">
        <v>94</v>
      </c>
      <c r="C1155" s="11" t="s">
        <v>42</v>
      </c>
      <c r="D1155" s="15" t="s">
        <v>2326</v>
      </c>
      <c r="E1155" s="13">
        <v>26</v>
      </c>
      <c r="F1155" s="13">
        <v>11</v>
      </c>
      <c r="G1155" s="13">
        <f t="shared" si="51"/>
        <v>304</v>
      </c>
      <c r="H1155" s="13">
        <v>104</v>
      </c>
      <c r="I1155" s="14">
        <f t="shared" ref="I1155:I1218" si="52">($E1155+$G1155)/365-$H1155</f>
        <v>-103.0958904109589</v>
      </c>
      <c r="J1155" s="15" t="s">
        <v>2327</v>
      </c>
    </row>
    <row r="1156" spans="1:37" x14ac:dyDescent="0.2">
      <c r="A1156">
        <v>-103</v>
      </c>
      <c r="B1156" s="10" t="s">
        <v>94</v>
      </c>
      <c r="C1156" s="11" t="s">
        <v>45</v>
      </c>
      <c r="D1156" s="15" t="s">
        <v>2328</v>
      </c>
      <c r="E1156" s="13">
        <v>6</v>
      </c>
      <c r="F1156" s="13">
        <v>12</v>
      </c>
      <c r="G1156" s="13">
        <f t="shared" si="51"/>
        <v>334</v>
      </c>
      <c r="H1156" s="13">
        <v>104</v>
      </c>
      <c r="I1156" s="14">
        <f t="shared" si="52"/>
        <v>-103.06849315068493</v>
      </c>
      <c r="J1156" s="15" t="s">
        <v>2329</v>
      </c>
    </row>
    <row r="1157" spans="1:37" x14ac:dyDescent="0.2">
      <c r="A1157">
        <v>-103</v>
      </c>
      <c r="B1157" s="10" t="s">
        <v>94</v>
      </c>
      <c r="C1157" s="11">
        <v>23</v>
      </c>
      <c r="D1157" s="15" t="s">
        <v>2330</v>
      </c>
      <c r="E1157" s="13">
        <v>8</v>
      </c>
      <c r="F1157" s="13">
        <v>12</v>
      </c>
      <c r="G1157" s="13">
        <f t="shared" si="51"/>
        <v>334</v>
      </c>
      <c r="H1157" s="13">
        <v>104</v>
      </c>
      <c r="I1157" s="14">
        <f t="shared" si="52"/>
        <v>-103.06301369863014</v>
      </c>
      <c r="P1157">
        <v>75</v>
      </c>
      <c r="Q1157" s="17">
        <v>75</v>
      </c>
      <c r="R1157" s="16">
        <f>1000/Q1157</f>
        <v>13.333333333333334</v>
      </c>
      <c r="S1157" s="16">
        <f>8.33*R1157</f>
        <v>111.06666666666668</v>
      </c>
      <c r="T1157" s="16">
        <f>S1157*1.33</f>
        <v>147.71866666666668</v>
      </c>
    </row>
    <row r="1158" spans="1:37" x14ac:dyDescent="0.2">
      <c r="A1158">
        <v>-99</v>
      </c>
      <c r="B1158" s="10" t="s">
        <v>91</v>
      </c>
      <c r="D1158" s="15" t="s">
        <v>2331</v>
      </c>
      <c r="E1158" s="13">
        <v>4</v>
      </c>
      <c r="F1158" s="13">
        <v>10</v>
      </c>
      <c r="G1158" s="13">
        <f t="shared" si="51"/>
        <v>273</v>
      </c>
      <c r="H1158" s="13">
        <v>100</v>
      </c>
      <c r="I1158" s="14">
        <f t="shared" si="52"/>
        <v>-99.241095890410961</v>
      </c>
      <c r="J1158" s="15" t="s">
        <v>2332</v>
      </c>
      <c r="P1158" s="1">
        <v>72</v>
      </c>
      <c r="Q1158" s="9">
        <v>72</v>
      </c>
      <c r="R1158" s="8">
        <f>1000/Q1158</f>
        <v>13.888888888888889</v>
      </c>
      <c r="S1158" s="8">
        <f>8.33*R1158</f>
        <v>115.69444444444444</v>
      </c>
      <c r="T1158" s="8">
        <f>S1158*1.33</f>
        <v>153.87361111111113</v>
      </c>
      <c r="U1158" s="1" t="s">
        <v>501</v>
      </c>
      <c r="V1158" s="9"/>
    </row>
    <row r="1159" spans="1:37" x14ac:dyDescent="0.2">
      <c r="B1159" s="10" t="s">
        <v>91</v>
      </c>
      <c r="C1159" s="11" t="s">
        <v>2333</v>
      </c>
      <c r="D1159" s="25" t="s">
        <v>2334</v>
      </c>
      <c r="E1159" s="13">
        <v>14</v>
      </c>
      <c r="F1159" s="13">
        <v>10</v>
      </c>
      <c r="G1159" s="13">
        <f t="shared" si="51"/>
        <v>273</v>
      </c>
      <c r="H1159" s="13">
        <v>100</v>
      </c>
      <c r="I1159" s="14">
        <f t="shared" si="52"/>
        <v>-99.213698630136989</v>
      </c>
      <c r="J1159" s="25" t="s">
        <v>2335</v>
      </c>
      <c r="P1159" s="1">
        <v>90</v>
      </c>
      <c r="Q1159" s="9">
        <v>90</v>
      </c>
      <c r="R1159" s="8">
        <f>1000/Q1159</f>
        <v>11.111111111111111</v>
      </c>
      <c r="S1159" s="8">
        <f>8.33*R1159</f>
        <v>92.555555555555557</v>
      </c>
      <c r="T1159" s="8">
        <f>S1159*1.33</f>
        <v>123.09888888888889</v>
      </c>
      <c r="U1159" s="1"/>
      <c r="V1159" s="9"/>
      <c r="AK1159" t="s">
        <v>319</v>
      </c>
    </row>
    <row r="1160" spans="1:37" x14ac:dyDescent="0.2">
      <c r="A1160">
        <v>-99</v>
      </c>
      <c r="B1160" s="10" t="s">
        <v>36</v>
      </c>
      <c r="D1160" s="15" t="s">
        <v>2336</v>
      </c>
      <c r="E1160" s="13">
        <v>2</v>
      </c>
      <c r="F1160" s="13">
        <v>12</v>
      </c>
      <c r="G1160" s="13">
        <f t="shared" si="51"/>
        <v>334</v>
      </c>
      <c r="H1160" s="13">
        <v>100</v>
      </c>
      <c r="I1160" s="14">
        <f t="shared" si="52"/>
        <v>-99.079452054794515</v>
      </c>
      <c r="J1160" s="15" t="s">
        <v>2337</v>
      </c>
      <c r="K1160" s="2">
        <v>120</v>
      </c>
      <c r="L1160" s="8">
        <v>120</v>
      </c>
      <c r="M1160" s="8">
        <f>1000/L1160</f>
        <v>8.3333333333333339</v>
      </c>
      <c r="N1160" s="8">
        <f>8.33*M1160</f>
        <v>69.416666666666671</v>
      </c>
      <c r="O1160" s="8">
        <f>1.613*N1160</f>
        <v>111.96908333333334</v>
      </c>
      <c r="T1160" s="8"/>
      <c r="Y1160" s="1">
        <v>87</v>
      </c>
      <c r="Z1160" s="9">
        <v>87</v>
      </c>
      <c r="AA1160" s="8">
        <f>1000/Z1160</f>
        <v>11.494252873563218</v>
      </c>
      <c r="AB1160" s="8">
        <f>8.33*AA1160</f>
        <v>95.747126436781599</v>
      </c>
      <c r="AC1160" s="1">
        <v>19</v>
      </c>
      <c r="AD1160" s="9">
        <v>19</v>
      </c>
      <c r="AE1160" s="8">
        <f>1000/AD1160</f>
        <v>52.631578947368418</v>
      </c>
      <c r="AF1160" s="8">
        <f>8.33*AE1160</f>
        <v>438.4210526315789</v>
      </c>
      <c r="AG1160" s="1">
        <v>1</v>
      </c>
      <c r="AH1160" s="9">
        <v>1</v>
      </c>
      <c r="AI1160" s="8">
        <f>1/AH1160</f>
        <v>1</v>
      </c>
      <c r="AJ1160" s="8">
        <f>8.33*AI1160</f>
        <v>8.33</v>
      </c>
      <c r="AK1160" t="s">
        <v>1207</v>
      </c>
    </row>
    <row r="1161" spans="1:37" x14ac:dyDescent="0.2">
      <c r="A1161">
        <v>-96</v>
      </c>
      <c r="B1161" s="10" t="s">
        <v>60</v>
      </c>
      <c r="D1161" s="15" t="s">
        <v>2338</v>
      </c>
      <c r="E1161" s="13">
        <v>6</v>
      </c>
      <c r="F1161" s="13">
        <v>4</v>
      </c>
      <c r="G1161" s="13">
        <f t="shared" si="51"/>
        <v>90</v>
      </c>
      <c r="H1161" s="13">
        <v>97</v>
      </c>
      <c r="I1161" s="14">
        <f t="shared" si="52"/>
        <v>-96.736986301369868</v>
      </c>
      <c r="J1161" s="15" t="s">
        <v>2339</v>
      </c>
      <c r="K1161" s="2"/>
      <c r="L1161" s="8"/>
      <c r="T1161" s="8"/>
      <c r="Y1161" s="1"/>
      <c r="Z1161" s="9"/>
      <c r="AC1161" s="1"/>
      <c r="AD1161" s="9"/>
      <c r="AG1161" s="1">
        <v>1.25</v>
      </c>
      <c r="AH1161" s="9">
        <v>1.25</v>
      </c>
      <c r="AI1161" s="8">
        <f>1/AH1161</f>
        <v>0.8</v>
      </c>
      <c r="AJ1161" s="8">
        <f>8.33*AI1161</f>
        <v>6.6640000000000006</v>
      </c>
    </row>
    <row r="1162" spans="1:37" x14ac:dyDescent="0.2">
      <c r="A1162">
        <v>-96</v>
      </c>
      <c r="B1162" s="10" t="s">
        <v>60</v>
      </c>
      <c r="C1162" s="11" t="s">
        <v>39</v>
      </c>
      <c r="D1162" s="15" t="s">
        <v>2338</v>
      </c>
      <c r="E1162" s="13">
        <v>6</v>
      </c>
      <c r="F1162" s="13">
        <v>4</v>
      </c>
      <c r="G1162" s="13">
        <f t="shared" si="51"/>
        <v>90</v>
      </c>
      <c r="H1162" s="13">
        <v>97</v>
      </c>
      <c r="I1162" s="14">
        <f t="shared" si="52"/>
        <v>-96.736986301369868</v>
      </c>
      <c r="J1162" s="15" t="s">
        <v>2340</v>
      </c>
      <c r="K1162" s="2"/>
      <c r="L1162" s="8"/>
      <c r="T1162" s="8"/>
      <c r="Y1162" s="1"/>
      <c r="Z1162" s="9"/>
      <c r="AC1162" s="1"/>
      <c r="AD1162" s="9"/>
    </row>
    <row r="1163" spans="1:37" x14ac:dyDescent="0.2">
      <c r="A1163">
        <v>-96</v>
      </c>
      <c r="B1163" s="10" t="s">
        <v>60</v>
      </c>
      <c r="C1163" s="11" t="s">
        <v>2341</v>
      </c>
      <c r="D1163" s="7" t="s">
        <v>2338</v>
      </c>
      <c r="E1163" s="13">
        <v>6</v>
      </c>
      <c r="F1163" s="13">
        <v>4</v>
      </c>
      <c r="G1163" s="13">
        <f t="shared" si="51"/>
        <v>90</v>
      </c>
      <c r="H1163" s="13">
        <v>97</v>
      </c>
      <c r="I1163" s="14">
        <f t="shared" si="52"/>
        <v>-96.736986301369868</v>
      </c>
      <c r="J1163" s="7" t="s">
        <v>2342</v>
      </c>
      <c r="K1163" s="10">
        <v>33</v>
      </c>
      <c r="L1163" s="16">
        <v>33</v>
      </c>
      <c r="M1163" s="16">
        <f>1000/L1163</f>
        <v>30.303030303030305</v>
      </c>
      <c r="N1163" s="16">
        <f>8.33*M1163</f>
        <v>252.42424242424244</v>
      </c>
      <c r="O1163" s="16">
        <f>1.613*N1163</f>
        <v>407.16030303030306</v>
      </c>
      <c r="P1163" t="s">
        <v>41</v>
      </c>
      <c r="T1163" s="8"/>
    </row>
    <row r="1164" spans="1:37" x14ac:dyDescent="0.2">
      <c r="A1164">
        <v>-96</v>
      </c>
      <c r="B1164" s="10" t="s">
        <v>60</v>
      </c>
      <c r="C1164" s="11" t="s">
        <v>2343</v>
      </c>
      <c r="D1164" s="7" t="s">
        <v>2340</v>
      </c>
      <c r="E1164" s="13">
        <v>15</v>
      </c>
      <c r="F1164" s="13">
        <v>4</v>
      </c>
      <c r="G1164" s="13">
        <f t="shared" si="51"/>
        <v>90</v>
      </c>
      <c r="H1164" s="13">
        <v>97</v>
      </c>
      <c r="I1164" s="14">
        <f t="shared" si="52"/>
        <v>-96.712328767123282</v>
      </c>
      <c r="J1164" s="7" t="s">
        <v>2344</v>
      </c>
      <c r="K1164" s="10">
        <v>30</v>
      </c>
      <c r="L1164" s="16">
        <v>30</v>
      </c>
      <c r="M1164" s="16">
        <f>1000/L1164</f>
        <v>33.333333333333336</v>
      </c>
      <c r="N1164" s="16">
        <f>8.33*M1164</f>
        <v>277.66666666666669</v>
      </c>
      <c r="O1164" s="16">
        <f>1.613*N1164</f>
        <v>447.87633333333338</v>
      </c>
      <c r="T1164" s="8"/>
    </row>
    <row r="1165" spans="1:37" x14ac:dyDescent="0.2">
      <c r="A1165">
        <v>-96</v>
      </c>
      <c r="B1165" s="10" t="s">
        <v>60</v>
      </c>
      <c r="C1165" s="11" t="s">
        <v>42</v>
      </c>
      <c r="D1165" s="15" t="s">
        <v>2344</v>
      </c>
      <c r="E1165" s="13">
        <v>16</v>
      </c>
      <c r="F1165" s="13">
        <v>4</v>
      </c>
      <c r="G1165" s="13">
        <f t="shared" si="51"/>
        <v>90</v>
      </c>
      <c r="H1165" s="13">
        <v>97</v>
      </c>
      <c r="I1165" s="14">
        <f t="shared" si="52"/>
        <v>-96.709589041095896</v>
      </c>
      <c r="J1165" s="15" t="s">
        <v>2345</v>
      </c>
      <c r="T1165" s="8"/>
    </row>
    <row r="1166" spans="1:37" x14ac:dyDescent="0.2">
      <c r="A1166">
        <v>-96</v>
      </c>
      <c r="B1166" s="10" t="s">
        <v>60</v>
      </c>
      <c r="C1166" s="11" t="s">
        <v>2346</v>
      </c>
      <c r="D1166" s="7" t="s">
        <v>2347</v>
      </c>
      <c r="E1166" s="13">
        <v>17</v>
      </c>
      <c r="F1166" s="13">
        <v>4</v>
      </c>
      <c r="G1166" s="13">
        <f t="shared" si="51"/>
        <v>90</v>
      </c>
      <c r="H1166" s="13">
        <v>97</v>
      </c>
      <c r="I1166" s="14">
        <f t="shared" si="52"/>
        <v>-96.706849315068496</v>
      </c>
      <c r="J1166" s="7" t="s">
        <v>2339</v>
      </c>
      <c r="K1166" s="10">
        <v>28.5</v>
      </c>
      <c r="L1166" s="16">
        <v>28.5</v>
      </c>
      <c r="M1166" s="16">
        <f>1000/L1166</f>
        <v>35.087719298245617</v>
      </c>
      <c r="N1166" s="16">
        <f>8.33*M1166</f>
        <v>292.28070175438597</v>
      </c>
      <c r="O1166" s="16">
        <f>1.613*N1166</f>
        <v>471.44877192982455</v>
      </c>
      <c r="T1166" s="8"/>
    </row>
    <row r="1167" spans="1:37" x14ac:dyDescent="0.2">
      <c r="A1167">
        <v>-96</v>
      </c>
      <c r="B1167" s="10" t="s">
        <v>60</v>
      </c>
      <c r="C1167" s="11" t="s">
        <v>45</v>
      </c>
      <c r="D1167" s="15" t="s">
        <v>2348</v>
      </c>
      <c r="E1167" s="13">
        <v>26</v>
      </c>
      <c r="F1167" s="13">
        <v>4</v>
      </c>
      <c r="G1167" s="13">
        <f t="shared" si="51"/>
        <v>90</v>
      </c>
      <c r="H1167" s="13">
        <v>97</v>
      </c>
      <c r="I1167" s="14">
        <f t="shared" si="52"/>
        <v>-96.682191780821924</v>
      </c>
      <c r="J1167" s="15" t="s">
        <v>2339</v>
      </c>
      <c r="T1167" s="8"/>
    </row>
    <row r="1168" spans="1:37" x14ac:dyDescent="0.2">
      <c r="A1168">
        <v>-96</v>
      </c>
      <c r="B1168" s="10" t="s">
        <v>36</v>
      </c>
      <c r="D1168" s="15" t="s">
        <v>2349</v>
      </c>
      <c r="E1168" s="13">
        <v>28</v>
      </c>
      <c r="F1168" s="13">
        <v>11</v>
      </c>
      <c r="G1168" s="13">
        <f t="shared" si="51"/>
        <v>304</v>
      </c>
      <c r="H1168" s="13">
        <v>97</v>
      </c>
      <c r="I1168" s="14">
        <f t="shared" si="52"/>
        <v>-96.090410958904116</v>
      </c>
      <c r="J1168" s="15" t="s">
        <v>2350</v>
      </c>
      <c r="T1168" s="8"/>
      <c r="U1168" s="1">
        <v>216</v>
      </c>
      <c r="V1168" s="9">
        <v>216</v>
      </c>
      <c r="W1168" s="8">
        <f>1000/V1168</f>
        <v>4.6296296296296298</v>
      </c>
      <c r="X1168" s="8">
        <f>8.33*W1168</f>
        <v>38.564814814814817</v>
      </c>
    </row>
    <row r="1169" spans="1:37" x14ac:dyDescent="0.2">
      <c r="A1169">
        <v>-96</v>
      </c>
      <c r="B1169" s="10" t="s">
        <v>36</v>
      </c>
      <c r="C1169" s="11" t="s">
        <v>39</v>
      </c>
      <c r="D1169" s="15" t="s">
        <v>2349</v>
      </c>
      <c r="E1169" s="13">
        <v>28</v>
      </c>
      <c r="F1169" s="13">
        <v>11</v>
      </c>
      <c r="G1169" s="13">
        <f t="shared" si="51"/>
        <v>304</v>
      </c>
      <c r="H1169" s="13">
        <v>97</v>
      </c>
      <c r="I1169" s="14">
        <f t="shared" si="52"/>
        <v>-96.090410958904116</v>
      </c>
      <c r="J1169" s="15" t="s">
        <v>2351</v>
      </c>
      <c r="T1169" s="8"/>
      <c r="Y1169">
        <v>18</v>
      </c>
      <c r="Z1169" s="17">
        <v>18</v>
      </c>
      <c r="AA1169" s="16">
        <f>1000/Z1169</f>
        <v>55.555555555555557</v>
      </c>
      <c r="AB1169" s="16">
        <f>8.33*AA1169</f>
        <v>462.77777777777777</v>
      </c>
      <c r="AC1169" t="s">
        <v>41</v>
      </c>
    </row>
    <row r="1170" spans="1:37" x14ac:dyDescent="0.2">
      <c r="A1170">
        <v>-96</v>
      </c>
      <c r="B1170" s="10" t="s">
        <v>36</v>
      </c>
      <c r="C1170" s="11" t="s">
        <v>1662</v>
      </c>
      <c r="D1170" s="7" t="s">
        <v>2349</v>
      </c>
      <c r="E1170" s="13">
        <v>28</v>
      </c>
      <c r="F1170" s="13">
        <v>11</v>
      </c>
      <c r="G1170" s="13">
        <f t="shared" si="51"/>
        <v>304</v>
      </c>
      <c r="H1170" s="13">
        <v>97</v>
      </c>
      <c r="I1170" s="14">
        <f t="shared" si="52"/>
        <v>-96.090410958904116</v>
      </c>
      <c r="J1170" s="7" t="s">
        <v>2352</v>
      </c>
      <c r="K1170" s="10" t="s">
        <v>2353</v>
      </c>
      <c r="L1170" s="19">
        <v>44</v>
      </c>
      <c r="M1170" s="19">
        <f>1000/L1170</f>
        <v>22.727272727272727</v>
      </c>
      <c r="N1170" s="19">
        <f>8.33*M1170</f>
        <v>189.31818181818181</v>
      </c>
      <c r="O1170" s="19">
        <f>1.613*N1170</f>
        <v>305.37022727272728</v>
      </c>
      <c r="T1170" s="8"/>
    </row>
    <row r="1171" spans="1:37" x14ac:dyDescent="0.2">
      <c r="A1171">
        <v>-96</v>
      </c>
      <c r="B1171" s="10" t="s">
        <v>36</v>
      </c>
      <c r="C1171" s="11" t="s">
        <v>42</v>
      </c>
      <c r="D1171" s="26" t="s">
        <v>2354</v>
      </c>
      <c r="E1171" s="13">
        <v>8</v>
      </c>
      <c r="F1171" s="13">
        <v>12</v>
      </c>
      <c r="G1171" s="13">
        <f t="shared" si="51"/>
        <v>334</v>
      </c>
      <c r="H1171" s="13">
        <v>97</v>
      </c>
      <c r="I1171" s="14">
        <f t="shared" si="52"/>
        <v>-96.063013698630144</v>
      </c>
      <c r="J1171" s="15" t="s">
        <v>2355</v>
      </c>
      <c r="T1171" s="8"/>
      <c r="Z1171" s="20">
        <v>18</v>
      </c>
      <c r="AA1171" s="19">
        <v>55.56</v>
      </c>
      <c r="AB1171" s="19">
        <v>462.78</v>
      </c>
    </row>
    <row r="1172" spans="1:37" x14ac:dyDescent="0.2">
      <c r="A1172">
        <v>-96</v>
      </c>
      <c r="B1172" s="10" t="s">
        <v>389</v>
      </c>
      <c r="C1172" s="11" t="s">
        <v>45</v>
      </c>
      <c r="D1172" s="15" t="s">
        <v>2356</v>
      </c>
      <c r="E1172" s="13">
        <v>18</v>
      </c>
      <c r="F1172" s="13">
        <v>12</v>
      </c>
      <c r="G1172" s="13">
        <f t="shared" si="51"/>
        <v>334</v>
      </c>
      <c r="H1172" s="13">
        <v>97</v>
      </c>
      <c r="I1172" s="14">
        <f t="shared" si="52"/>
        <v>-96.035616438356158</v>
      </c>
      <c r="J1172" s="15" t="s">
        <v>2350</v>
      </c>
      <c r="T1172" s="8"/>
      <c r="Y1172">
        <v>15</v>
      </c>
      <c r="Z1172" s="17">
        <v>15</v>
      </c>
      <c r="AA1172" s="16">
        <f>1000/Z1172</f>
        <v>66.666666666666671</v>
      </c>
      <c r="AB1172" s="16">
        <f>8.33*AA1172</f>
        <v>555.33333333333337</v>
      </c>
    </row>
    <row r="1173" spans="1:37" x14ac:dyDescent="0.2">
      <c r="A1173">
        <v>-96</v>
      </c>
      <c r="B1173" s="10" t="s">
        <v>2357</v>
      </c>
      <c r="C1173" s="11" t="s">
        <v>39</v>
      </c>
      <c r="D1173" s="15" t="s">
        <v>2358</v>
      </c>
      <c r="E1173" s="13">
        <v>26</v>
      </c>
      <c r="F1173" s="13">
        <v>1</v>
      </c>
      <c r="G1173" s="13">
        <f t="shared" si="51"/>
        <v>0</v>
      </c>
      <c r="H1173" s="13">
        <v>96</v>
      </c>
      <c r="I1173" s="14">
        <f t="shared" si="52"/>
        <v>-95.92876712328767</v>
      </c>
      <c r="J1173" s="15" t="s">
        <v>2359</v>
      </c>
      <c r="T1173" s="8"/>
    </row>
    <row r="1174" spans="1:37" x14ac:dyDescent="0.2">
      <c r="A1174">
        <v>-96</v>
      </c>
      <c r="B1174" s="10" t="s">
        <v>83</v>
      </c>
      <c r="C1174" s="11" t="s">
        <v>42</v>
      </c>
      <c r="D1174" s="15" t="s">
        <v>2360</v>
      </c>
      <c r="E1174" s="13">
        <v>5</v>
      </c>
      <c r="F1174" s="13">
        <v>2</v>
      </c>
      <c r="G1174" s="13">
        <f t="shared" si="51"/>
        <v>31</v>
      </c>
      <c r="H1174" s="13">
        <v>96</v>
      </c>
      <c r="I1174" s="14">
        <f t="shared" si="52"/>
        <v>-95.901369863013699</v>
      </c>
      <c r="J1174" s="15" t="s">
        <v>2361</v>
      </c>
      <c r="T1174" s="8"/>
      <c r="Z1174" s="20"/>
      <c r="AC1174" t="s">
        <v>2362</v>
      </c>
      <c r="AD1174" s="20">
        <v>13.25</v>
      </c>
      <c r="AE1174" s="19">
        <f>1000/AD1174</f>
        <v>75.471698113207552</v>
      </c>
      <c r="AF1174" s="19">
        <f>8.33*AE1174</f>
        <v>628.67924528301887</v>
      </c>
    </row>
    <row r="1175" spans="1:37" x14ac:dyDescent="0.2">
      <c r="A1175">
        <v>-96</v>
      </c>
      <c r="B1175" s="10" t="s">
        <v>83</v>
      </c>
      <c r="C1175" s="11" t="s">
        <v>45</v>
      </c>
      <c r="D1175" s="15" t="s">
        <v>2363</v>
      </c>
      <c r="E1175" s="13">
        <v>15</v>
      </c>
      <c r="F1175" s="13">
        <v>2</v>
      </c>
      <c r="G1175" s="13">
        <f t="shared" si="51"/>
        <v>31</v>
      </c>
      <c r="H1175" s="13">
        <v>96</v>
      </c>
      <c r="I1175" s="14">
        <f t="shared" si="52"/>
        <v>-95.873972602739727</v>
      </c>
      <c r="J1175" s="15" t="s">
        <v>2359</v>
      </c>
      <c r="T1175" s="8"/>
      <c r="AC1175" t="s">
        <v>2364</v>
      </c>
      <c r="AD1175" s="20">
        <v>13</v>
      </c>
      <c r="AE1175" s="19">
        <f>1000/AD1175</f>
        <v>76.92307692307692</v>
      </c>
      <c r="AF1175" s="19">
        <f>8.33*AE1175</f>
        <v>640.76923076923072</v>
      </c>
    </row>
    <row r="1176" spans="1:37" x14ac:dyDescent="0.2">
      <c r="A1176">
        <v>-96</v>
      </c>
      <c r="B1176" s="10" t="s">
        <v>83</v>
      </c>
      <c r="C1176" s="11" t="s">
        <v>2365</v>
      </c>
      <c r="D1176" s="25" t="s">
        <v>2366</v>
      </c>
      <c r="E1176" s="13">
        <v>21</v>
      </c>
      <c r="F1176" s="13">
        <v>2</v>
      </c>
      <c r="G1176" s="13">
        <f t="shared" si="51"/>
        <v>31</v>
      </c>
      <c r="H1176" s="13">
        <v>96</v>
      </c>
      <c r="I1176" s="14">
        <f t="shared" si="52"/>
        <v>-95.857534246575341</v>
      </c>
      <c r="J1176" s="33" t="s">
        <v>2367</v>
      </c>
      <c r="K1176" s="23" t="s">
        <v>2368</v>
      </c>
      <c r="L1176" s="19">
        <v>33.25</v>
      </c>
      <c r="M1176" s="19">
        <f>1000/L1176</f>
        <v>30.075187969924812</v>
      </c>
      <c r="N1176" s="19">
        <f>8.33*M1176</f>
        <v>250.5263157894737</v>
      </c>
      <c r="O1176" s="19">
        <f>1.613*N1176</f>
        <v>404.09894736842108</v>
      </c>
      <c r="T1176" s="8"/>
      <c r="AK1176" t="s">
        <v>2369</v>
      </c>
    </row>
    <row r="1177" spans="1:37" x14ac:dyDescent="0.2">
      <c r="A1177">
        <v>-96</v>
      </c>
      <c r="B1177" s="10" t="s">
        <v>83</v>
      </c>
      <c r="C1177" s="11" t="s">
        <v>2219</v>
      </c>
      <c r="D1177" s="7" t="s">
        <v>2370</v>
      </c>
      <c r="E1177" s="13">
        <v>23</v>
      </c>
      <c r="F1177" s="13">
        <v>2</v>
      </c>
      <c r="G1177" s="13">
        <f t="shared" si="51"/>
        <v>31</v>
      </c>
      <c r="H1177" s="13">
        <v>96</v>
      </c>
      <c r="I1177" s="14">
        <f t="shared" si="52"/>
        <v>-95.852054794520555</v>
      </c>
      <c r="J1177" s="7" t="s">
        <v>2359</v>
      </c>
      <c r="K1177" s="23">
        <v>33</v>
      </c>
      <c r="L1177" s="19">
        <v>33</v>
      </c>
      <c r="M1177" s="19">
        <f>1000/L1177</f>
        <v>30.303030303030305</v>
      </c>
      <c r="N1177" s="19">
        <f>8.33*M1177</f>
        <v>252.42424242424244</v>
      </c>
      <c r="O1177" s="19">
        <f>1.613*N1177</f>
        <v>407.16030303030306</v>
      </c>
      <c r="T1177" s="8"/>
      <c r="AK1177" t="s">
        <v>2369</v>
      </c>
    </row>
    <row r="1178" spans="1:37" x14ac:dyDescent="0.2">
      <c r="A1178">
        <v>-95</v>
      </c>
      <c r="B1178" s="10" t="s">
        <v>60</v>
      </c>
      <c r="D1178" s="15" t="s">
        <v>2371</v>
      </c>
      <c r="E1178" s="13">
        <v>27</v>
      </c>
      <c r="F1178" s="13">
        <v>3</v>
      </c>
      <c r="G1178" s="13">
        <f t="shared" si="51"/>
        <v>59</v>
      </c>
      <c r="H1178" s="13">
        <v>96</v>
      </c>
      <c r="I1178" s="14">
        <f t="shared" si="52"/>
        <v>-95.764383561643839</v>
      </c>
      <c r="J1178" s="15" t="s">
        <v>2372</v>
      </c>
      <c r="T1178" s="8"/>
      <c r="U1178" s="1">
        <v>198</v>
      </c>
      <c r="V1178" s="9">
        <v>198</v>
      </c>
      <c r="W1178" s="8">
        <f>1000/V1178</f>
        <v>5.0505050505050502</v>
      </c>
      <c r="X1178" s="8">
        <f>8.33*W1178</f>
        <v>42.070707070707066</v>
      </c>
      <c r="Y1178" s="1">
        <v>22.5</v>
      </c>
      <c r="Z1178" s="9">
        <v>22.5</v>
      </c>
      <c r="AA1178" s="8">
        <f>1000/Z1178</f>
        <v>44.444444444444443</v>
      </c>
      <c r="AB1178" s="8">
        <f>8.33*AA1178</f>
        <v>370.22222222222223</v>
      </c>
      <c r="AG1178" s="1">
        <v>1.5</v>
      </c>
      <c r="AH1178" s="9">
        <v>1.5</v>
      </c>
      <c r="AI1178" s="8">
        <f>1/AH1178</f>
        <v>0.66666666666666663</v>
      </c>
      <c r="AJ1178" s="8">
        <f>8.33*AI1178</f>
        <v>5.5533333333333328</v>
      </c>
    </row>
    <row r="1179" spans="1:37" x14ac:dyDescent="0.2">
      <c r="A1179">
        <v>-95</v>
      </c>
      <c r="B1179" s="10" t="s">
        <v>2373</v>
      </c>
      <c r="C1179" s="11" t="s">
        <v>39</v>
      </c>
      <c r="D1179" s="15" t="s">
        <v>2371</v>
      </c>
      <c r="E1179" s="13">
        <v>27</v>
      </c>
      <c r="F1179" s="13">
        <v>3</v>
      </c>
      <c r="G1179" s="13">
        <f t="shared" si="51"/>
        <v>59</v>
      </c>
      <c r="H1179" s="13">
        <v>96</v>
      </c>
      <c r="I1179" s="14">
        <f t="shared" si="52"/>
        <v>-95.764383561643839</v>
      </c>
      <c r="J1179" s="15" t="s">
        <v>2374</v>
      </c>
      <c r="T1179" s="8"/>
    </row>
    <row r="1180" spans="1:37" x14ac:dyDescent="0.2">
      <c r="A1180">
        <v>-95</v>
      </c>
      <c r="B1180" s="10" t="s">
        <v>2373</v>
      </c>
      <c r="C1180" s="11" t="s">
        <v>2375</v>
      </c>
      <c r="D1180" s="25" t="s">
        <v>2376</v>
      </c>
      <c r="E1180" s="13">
        <v>1</v>
      </c>
      <c r="F1180" s="13">
        <v>4</v>
      </c>
      <c r="G1180" s="13">
        <f t="shared" si="51"/>
        <v>90</v>
      </c>
      <c r="H1180" s="13">
        <v>96</v>
      </c>
      <c r="I1180" s="14">
        <f t="shared" si="52"/>
        <v>-95.750684931506854</v>
      </c>
      <c r="J1180" s="33" t="s">
        <v>2377</v>
      </c>
      <c r="L1180" s="19"/>
      <c r="P1180">
        <v>48</v>
      </c>
      <c r="Q1180" s="20">
        <v>48</v>
      </c>
      <c r="R1180" s="19">
        <f>1000/Q1180</f>
        <v>20.833333333333332</v>
      </c>
      <c r="S1180" s="19">
        <f>8.33*R1180</f>
        <v>173.54166666666666</v>
      </c>
      <c r="T1180" s="19">
        <f>S1180*1.33</f>
        <v>230.81041666666667</v>
      </c>
      <c r="AK1180" t="s">
        <v>2378</v>
      </c>
    </row>
    <row r="1181" spans="1:37" x14ac:dyDescent="0.2">
      <c r="A1181">
        <v>-95</v>
      </c>
      <c r="B1181" s="10" t="s">
        <v>2373</v>
      </c>
      <c r="C1181" s="11" t="s">
        <v>2379</v>
      </c>
      <c r="D1181" s="15" t="s">
        <v>2380</v>
      </c>
      <c r="E1181" s="13">
        <v>3</v>
      </c>
      <c r="F1181" s="13">
        <v>4</v>
      </c>
      <c r="G1181" s="13">
        <f t="shared" si="51"/>
        <v>90</v>
      </c>
      <c r="H1181" s="13">
        <v>96</v>
      </c>
      <c r="I1181" s="14">
        <f t="shared" si="52"/>
        <v>-95.745205479452054</v>
      </c>
      <c r="J1181" s="15" t="s">
        <v>2381</v>
      </c>
      <c r="L1181" s="19"/>
      <c r="P1181">
        <v>51</v>
      </c>
      <c r="Q1181" s="20">
        <v>51</v>
      </c>
      <c r="R1181" s="19">
        <f>1000/Q1181</f>
        <v>19.607843137254903</v>
      </c>
      <c r="S1181" s="19">
        <f>8.33*R1181</f>
        <v>163.33333333333334</v>
      </c>
      <c r="T1181" s="19">
        <f>S1181*1.33</f>
        <v>217.23333333333335</v>
      </c>
      <c r="AK1181" t="s">
        <v>2378</v>
      </c>
    </row>
    <row r="1182" spans="1:37" x14ac:dyDescent="0.2">
      <c r="A1182">
        <v>-95</v>
      </c>
      <c r="B1182" s="10" t="s">
        <v>60</v>
      </c>
      <c r="C1182" s="11" t="s">
        <v>42</v>
      </c>
      <c r="D1182" s="15" t="s">
        <v>2382</v>
      </c>
      <c r="E1182" s="13">
        <v>6</v>
      </c>
      <c r="F1182" s="13">
        <v>4</v>
      </c>
      <c r="G1182" s="13">
        <f t="shared" si="51"/>
        <v>90</v>
      </c>
      <c r="H1182" s="13">
        <v>96</v>
      </c>
      <c r="I1182" s="14">
        <f t="shared" si="52"/>
        <v>-95.736986301369868</v>
      </c>
      <c r="J1182" s="15" t="s">
        <v>2383</v>
      </c>
      <c r="T1182" s="19"/>
    </row>
    <row r="1183" spans="1:37" x14ac:dyDescent="0.2">
      <c r="A1183">
        <v>-95</v>
      </c>
      <c r="B1183" s="10" t="s">
        <v>2373</v>
      </c>
      <c r="C1183" s="11" t="s">
        <v>2384</v>
      </c>
      <c r="D1183" s="7" t="s">
        <v>2385</v>
      </c>
      <c r="E1183" s="13">
        <v>17</v>
      </c>
      <c r="F1183" s="13">
        <v>4</v>
      </c>
      <c r="G1183" s="13">
        <f t="shared" si="51"/>
        <v>90</v>
      </c>
      <c r="H1183" s="13">
        <v>96</v>
      </c>
      <c r="I1183" s="14">
        <f t="shared" si="52"/>
        <v>-95.706849315068496</v>
      </c>
      <c r="J1183" s="7" t="s">
        <v>2386</v>
      </c>
      <c r="T1183" s="19"/>
      <c r="AC1183">
        <v>12.75</v>
      </c>
      <c r="AD1183" s="17">
        <v>12.75</v>
      </c>
      <c r="AE1183" s="16">
        <f>1000/AD1183</f>
        <v>78.431372549019613</v>
      </c>
      <c r="AF1183" s="16">
        <f>8.33*AE1183</f>
        <v>653.33333333333337</v>
      </c>
    </row>
    <row r="1184" spans="1:37" x14ac:dyDescent="0.2">
      <c r="A1184">
        <v>-95</v>
      </c>
      <c r="B1184" s="10" t="s">
        <v>2373</v>
      </c>
      <c r="C1184" s="11" t="s">
        <v>2387</v>
      </c>
      <c r="D1184" s="25" t="s">
        <v>2388</v>
      </c>
      <c r="E1184" s="13">
        <v>9</v>
      </c>
      <c r="F1184" s="13">
        <v>4</v>
      </c>
      <c r="G1184" s="13">
        <f t="shared" si="51"/>
        <v>90</v>
      </c>
      <c r="H1184" s="13">
        <v>96</v>
      </c>
      <c r="I1184" s="14">
        <f t="shared" si="52"/>
        <v>-95.728767123287668</v>
      </c>
      <c r="J1184" s="7" t="s">
        <v>2389</v>
      </c>
      <c r="L1184" s="19"/>
      <c r="P1184">
        <v>48</v>
      </c>
      <c r="Q1184" s="20">
        <v>48</v>
      </c>
      <c r="R1184" s="19">
        <f>1000/Q1184</f>
        <v>20.833333333333332</v>
      </c>
      <c r="S1184" s="19">
        <f>8.33*R1184</f>
        <v>173.54166666666666</v>
      </c>
      <c r="T1184" s="19">
        <f>S1184*1.33</f>
        <v>230.81041666666667</v>
      </c>
      <c r="AK1184" t="s">
        <v>2378</v>
      </c>
    </row>
    <row r="1185" spans="1:37" x14ac:dyDescent="0.2">
      <c r="A1185">
        <v>-95</v>
      </c>
      <c r="B1185" s="10" t="s">
        <v>2373</v>
      </c>
      <c r="C1185" s="11" t="s">
        <v>2390</v>
      </c>
      <c r="D1185" s="7" t="s">
        <v>2391</v>
      </c>
      <c r="E1185" s="13">
        <v>11</v>
      </c>
      <c r="F1185" s="13">
        <v>4</v>
      </c>
      <c r="G1185" s="13">
        <f t="shared" si="51"/>
        <v>90</v>
      </c>
      <c r="H1185" s="13">
        <v>96</v>
      </c>
      <c r="I1185" s="14">
        <f t="shared" si="52"/>
        <v>-95.723287671232882</v>
      </c>
      <c r="J1185" s="7" t="s">
        <v>2392</v>
      </c>
      <c r="L1185" s="19"/>
      <c r="P1185">
        <v>51</v>
      </c>
      <c r="Q1185" s="20">
        <v>51</v>
      </c>
      <c r="R1185" s="19">
        <f>1000/Q1185</f>
        <v>19.607843137254903</v>
      </c>
      <c r="S1185" s="19">
        <f>8.33*R1185</f>
        <v>163.33333333333334</v>
      </c>
      <c r="T1185" s="19">
        <f>S1185*1.33</f>
        <v>217.23333333333335</v>
      </c>
      <c r="AK1185" t="s">
        <v>2378</v>
      </c>
    </row>
    <row r="1186" spans="1:37" x14ac:dyDescent="0.2">
      <c r="A1186">
        <v>-95</v>
      </c>
      <c r="B1186" s="10" t="s">
        <v>2373</v>
      </c>
      <c r="C1186" s="11">
        <v>20</v>
      </c>
      <c r="D1186" s="7" t="s">
        <v>2383</v>
      </c>
      <c r="E1186" s="13">
        <v>15</v>
      </c>
      <c r="F1186" s="13">
        <v>4</v>
      </c>
      <c r="G1186" s="13">
        <f t="shared" si="51"/>
        <v>90</v>
      </c>
      <c r="H1186" s="13">
        <v>96</v>
      </c>
      <c r="I1186" s="14">
        <f t="shared" si="52"/>
        <v>-95.712328767123282</v>
      </c>
      <c r="L1186" s="19"/>
      <c r="P1186" t="s">
        <v>2393</v>
      </c>
      <c r="Q1186" s="20">
        <v>54</v>
      </c>
      <c r="R1186" s="19">
        <f>1000/Q1186</f>
        <v>18.518518518518519</v>
      </c>
      <c r="S1186" s="19">
        <f>8.33*R1186</f>
        <v>154.25925925925927</v>
      </c>
      <c r="T1186" s="19">
        <f>S1186*1.33</f>
        <v>205.16481481481483</v>
      </c>
      <c r="AK1186" t="s">
        <v>2394</v>
      </c>
    </row>
    <row r="1187" spans="1:37" x14ac:dyDescent="0.2">
      <c r="A1187">
        <v>-95</v>
      </c>
      <c r="B1187" s="10" t="s">
        <v>60</v>
      </c>
      <c r="C1187" s="11" t="s">
        <v>45</v>
      </c>
      <c r="D1187" s="15" t="s">
        <v>2395</v>
      </c>
      <c r="E1187" s="13">
        <v>16</v>
      </c>
      <c r="F1187" s="13">
        <v>4</v>
      </c>
      <c r="G1187" s="13">
        <f t="shared" si="51"/>
        <v>90</v>
      </c>
      <c r="H1187" s="13">
        <v>96</v>
      </c>
      <c r="I1187" s="14">
        <f t="shared" si="52"/>
        <v>-95.709589041095896</v>
      </c>
      <c r="J1187" s="15" t="s">
        <v>2372</v>
      </c>
      <c r="L1187" s="19"/>
      <c r="Q1187" s="20"/>
      <c r="R1187" s="19"/>
      <c r="S1187" s="19"/>
      <c r="T1187" s="19"/>
    </row>
    <row r="1188" spans="1:37" x14ac:dyDescent="0.2">
      <c r="A1188">
        <v>-95</v>
      </c>
      <c r="B1188" s="10" t="s">
        <v>2373</v>
      </c>
      <c r="C1188" s="11" t="s">
        <v>1946</v>
      </c>
      <c r="D1188" s="25" t="s">
        <v>2396</v>
      </c>
      <c r="E1188" s="13">
        <v>19</v>
      </c>
      <c r="F1188" s="13">
        <v>4</v>
      </c>
      <c r="G1188" s="13">
        <f t="shared" si="51"/>
        <v>90</v>
      </c>
      <c r="H1188" s="13">
        <v>96</v>
      </c>
      <c r="I1188" s="14">
        <f t="shared" si="52"/>
        <v>-95.701369863013696</v>
      </c>
      <c r="J1188" s="7" t="s">
        <v>2397</v>
      </c>
      <c r="L1188" s="19"/>
      <c r="P1188">
        <v>51</v>
      </c>
      <c r="Q1188" s="20">
        <v>51</v>
      </c>
      <c r="R1188" s="19">
        <f>1000/Q1188</f>
        <v>19.607843137254903</v>
      </c>
      <c r="S1188" s="19">
        <f>8.33*R1188</f>
        <v>163.33333333333334</v>
      </c>
      <c r="T1188" s="19">
        <f>S1188*1.33</f>
        <v>217.23333333333335</v>
      </c>
      <c r="AK1188" t="s">
        <v>2378</v>
      </c>
    </row>
    <row r="1189" spans="1:37" x14ac:dyDescent="0.2">
      <c r="A1189">
        <v>-95</v>
      </c>
      <c r="B1189" s="10" t="s">
        <v>2373</v>
      </c>
      <c r="C1189" s="11" t="s">
        <v>336</v>
      </c>
      <c r="D1189" s="25" t="s">
        <v>2398</v>
      </c>
      <c r="E1189" s="13">
        <v>18</v>
      </c>
      <c r="F1189" s="13">
        <v>4</v>
      </c>
      <c r="G1189" s="13">
        <f t="shared" si="51"/>
        <v>90</v>
      </c>
      <c r="H1189" s="13">
        <v>96</v>
      </c>
      <c r="I1189" s="14">
        <f t="shared" si="52"/>
        <v>-95.704109589041096</v>
      </c>
      <c r="J1189" s="7" t="s">
        <v>2396</v>
      </c>
      <c r="T1189" s="8"/>
      <c r="AC1189">
        <v>12</v>
      </c>
      <c r="AD1189" s="17">
        <v>12</v>
      </c>
      <c r="AE1189" s="16">
        <f>1000/AD1189</f>
        <v>83.333333333333329</v>
      </c>
      <c r="AF1189" s="16">
        <f>8.33*AE1189</f>
        <v>694.16666666666663</v>
      </c>
    </row>
    <row r="1190" spans="1:37" x14ac:dyDescent="0.2">
      <c r="A1190">
        <v>-95</v>
      </c>
      <c r="B1190" s="10" t="s">
        <v>2373</v>
      </c>
      <c r="C1190" s="11" t="s">
        <v>1782</v>
      </c>
      <c r="D1190" s="7" t="s">
        <v>2398</v>
      </c>
      <c r="E1190" s="13">
        <v>18</v>
      </c>
      <c r="F1190" s="13">
        <v>4</v>
      </c>
      <c r="G1190" s="13">
        <f t="shared" si="51"/>
        <v>90</v>
      </c>
      <c r="H1190" s="13">
        <v>96</v>
      </c>
      <c r="I1190" s="14">
        <f t="shared" si="52"/>
        <v>-95.704109589041096</v>
      </c>
      <c r="J1190" s="7" t="s">
        <v>2372</v>
      </c>
      <c r="P1190" s="35"/>
      <c r="T1190" s="8"/>
      <c r="AC1190" s="35" t="s">
        <v>2399</v>
      </c>
      <c r="AD1190" s="20">
        <v>11</v>
      </c>
      <c r="AE1190" s="19">
        <f>1000/AD1190</f>
        <v>90.909090909090907</v>
      </c>
      <c r="AF1190" s="19">
        <f>8.33*AE1190</f>
        <v>757.27272727272725</v>
      </c>
    </row>
    <row r="1191" spans="1:37" x14ac:dyDescent="0.2">
      <c r="A1191">
        <v>-95</v>
      </c>
      <c r="B1191" s="10" t="s">
        <v>47</v>
      </c>
      <c r="D1191" s="15" t="s">
        <v>2400</v>
      </c>
      <c r="E1191" s="13">
        <v>25</v>
      </c>
      <c r="F1191" s="13">
        <v>4</v>
      </c>
      <c r="G1191" s="13">
        <f t="shared" si="51"/>
        <v>90</v>
      </c>
      <c r="H1191" s="13">
        <v>96</v>
      </c>
      <c r="I1191" s="14">
        <f t="shared" si="52"/>
        <v>-95.68493150684931</v>
      </c>
      <c r="J1191" s="15" t="s">
        <v>2401</v>
      </c>
      <c r="P1191" s="35"/>
      <c r="T1191" s="8"/>
      <c r="AG1191" s="1">
        <v>1.5</v>
      </c>
      <c r="AH1191" s="9">
        <v>1.5</v>
      </c>
      <c r="AI1191" s="8">
        <f>1/AH1191</f>
        <v>0.66666666666666663</v>
      </c>
      <c r="AJ1191" s="8">
        <f>8.33*AI1191</f>
        <v>5.5533333333333328</v>
      </c>
    </row>
    <row r="1192" spans="1:37" x14ac:dyDescent="0.2">
      <c r="A1192">
        <v>-95</v>
      </c>
      <c r="B1192" s="10" t="s">
        <v>1424</v>
      </c>
      <c r="C1192" s="11" t="s">
        <v>39</v>
      </c>
      <c r="D1192" s="15" t="s">
        <v>2400</v>
      </c>
      <c r="E1192" s="13">
        <v>25</v>
      </c>
      <c r="F1192" s="13">
        <v>4</v>
      </c>
      <c r="G1192" s="13">
        <f t="shared" si="51"/>
        <v>90</v>
      </c>
      <c r="H1192" s="13">
        <v>96</v>
      </c>
      <c r="I1192" s="14">
        <f t="shared" si="52"/>
        <v>-95.68493150684931</v>
      </c>
      <c r="J1192" s="15" t="s">
        <v>2402</v>
      </c>
      <c r="P1192" s="35"/>
      <c r="T1192" s="8"/>
    </row>
    <row r="1193" spans="1:37" x14ac:dyDescent="0.2">
      <c r="A1193">
        <v>-95</v>
      </c>
      <c r="B1193" s="10" t="s">
        <v>1424</v>
      </c>
      <c r="C1193" s="11" t="s">
        <v>42</v>
      </c>
      <c r="D1193" s="15" t="s">
        <v>2403</v>
      </c>
      <c r="E1193" s="13">
        <v>5</v>
      </c>
      <c r="F1193" s="13">
        <v>5</v>
      </c>
      <c r="G1193" s="13">
        <f t="shared" si="51"/>
        <v>120</v>
      </c>
      <c r="H1193" s="13">
        <v>96</v>
      </c>
      <c r="I1193" s="14">
        <f t="shared" si="52"/>
        <v>-95.657534246575338</v>
      </c>
      <c r="J1193" s="15" t="s">
        <v>2404</v>
      </c>
      <c r="P1193" s="35"/>
      <c r="T1193" s="8"/>
      <c r="AG1193" s="1"/>
      <c r="AH1193" s="9"/>
    </row>
    <row r="1194" spans="1:37" x14ac:dyDescent="0.2">
      <c r="A1194">
        <v>-95</v>
      </c>
      <c r="B1194" s="10" t="s">
        <v>47</v>
      </c>
      <c r="C1194" s="11" t="s">
        <v>45</v>
      </c>
      <c r="D1194" s="15" t="s">
        <v>2405</v>
      </c>
      <c r="E1194" s="13">
        <v>15</v>
      </c>
      <c r="F1194" s="13">
        <v>5</v>
      </c>
      <c r="G1194" s="13">
        <f t="shared" si="51"/>
        <v>120</v>
      </c>
      <c r="H1194" s="13">
        <v>96</v>
      </c>
      <c r="I1194" s="14">
        <f t="shared" si="52"/>
        <v>-95.630136986301366</v>
      </c>
      <c r="J1194" s="15" t="s">
        <v>2401</v>
      </c>
      <c r="P1194" s="35"/>
      <c r="T1194" s="8"/>
      <c r="AG1194" s="1"/>
      <c r="AH1194" s="9"/>
    </row>
    <row r="1195" spans="1:37" x14ac:dyDescent="0.2">
      <c r="A1195">
        <v>-95</v>
      </c>
      <c r="B1195" s="10" t="s">
        <v>1424</v>
      </c>
      <c r="C1195" s="11" t="s">
        <v>2219</v>
      </c>
      <c r="D1195" s="7" t="s">
        <v>2406</v>
      </c>
      <c r="E1195" s="13">
        <v>23</v>
      </c>
      <c r="F1195" s="13">
        <v>5</v>
      </c>
      <c r="G1195" s="13">
        <f t="shared" si="51"/>
        <v>120</v>
      </c>
      <c r="H1195" s="13">
        <v>96</v>
      </c>
      <c r="I1195" s="14">
        <f t="shared" si="52"/>
        <v>-95.608219178082194</v>
      </c>
      <c r="J1195" s="7" t="s">
        <v>2401</v>
      </c>
      <c r="K1195" s="10">
        <v>66</v>
      </c>
      <c r="L1195" s="16">
        <v>66</v>
      </c>
      <c r="M1195" s="16">
        <f>1000/L1195</f>
        <v>15.151515151515152</v>
      </c>
      <c r="N1195" s="16">
        <f>8.33*M1195</f>
        <v>126.21212121212122</v>
      </c>
      <c r="O1195" s="16">
        <f>1.613*N1195</f>
        <v>203.58015151515153</v>
      </c>
      <c r="T1195" s="8"/>
      <c r="AC1195">
        <v>12</v>
      </c>
      <c r="AD1195" s="17">
        <v>12</v>
      </c>
      <c r="AE1195" s="16">
        <f>1000/AD1195</f>
        <v>83.333333333333329</v>
      </c>
      <c r="AF1195" s="16">
        <f>8.33*AE1195</f>
        <v>694.16666666666663</v>
      </c>
    </row>
    <row r="1196" spans="1:37" x14ac:dyDescent="0.2">
      <c r="A1196">
        <v>-95</v>
      </c>
      <c r="B1196" s="10" t="s">
        <v>285</v>
      </c>
      <c r="C1196" s="11" t="s">
        <v>39</v>
      </c>
      <c r="D1196" s="26" t="s">
        <v>2407</v>
      </c>
      <c r="E1196" s="13">
        <v>23</v>
      </c>
      <c r="F1196" s="13">
        <v>7</v>
      </c>
      <c r="G1196" s="13">
        <f t="shared" si="51"/>
        <v>181</v>
      </c>
      <c r="H1196" s="13">
        <v>96</v>
      </c>
      <c r="I1196" s="14">
        <f t="shared" si="52"/>
        <v>-95.441095890410963</v>
      </c>
      <c r="J1196" s="15" t="s">
        <v>2408</v>
      </c>
      <c r="T1196" s="8"/>
    </row>
    <row r="1197" spans="1:37" x14ac:dyDescent="0.2">
      <c r="A1197">
        <v>-95</v>
      </c>
      <c r="B1197" s="10" t="s">
        <v>362</v>
      </c>
      <c r="C1197" s="11" t="s">
        <v>2409</v>
      </c>
      <c r="D1197" s="7" t="s">
        <v>2407</v>
      </c>
      <c r="E1197" s="13">
        <v>23</v>
      </c>
      <c r="F1197" s="13">
        <v>7</v>
      </c>
      <c r="G1197" s="13">
        <f t="shared" si="51"/>
        <v>181</v>
      </c>
      <c r="H1197" s="13">
        <v>96</v>
      </c>
      <c r="I1197" s="14">
        <f t="shared" si="52"/>
        <v>-95.441095890410963</v>
      </c>
      <c r="J1197" s="7" t="s">
        <v>2410</v>
      </c>
      <c r="K1197" s="10" t="s">
        <v>2411</v>
      </c>
      <c r="L1197" s="19">
        <v>54</v>
      </c>
      <c r="M1197" s="19">
        <f>1000/L1197</f>
        <v>18.518518518518519</v>
      </c>
      <c r="N1197" s="19">
        <f>8.33*M1197</f>
        <v>154.25925925925927</v>
      </c>
      <c r="O1197" s="19">
        <f>1.613*N1197</f>
        <v>248.82018518518518</v>
      </c>
      <c r="T1197" s="8"/>
      <c r="AK1197" t="s">
        <v>2412</v>
      </c>
    </row>
    <row r="1198" spans="1:37" x14ac:dyDescent="0.2">
      <c r="A1198">
        <v>-95</v>
      </c>
      <c r="B1198" s="10" t="s">
        <v>285</v>
      </c>
      <c r="C1198" s="11" t="s">
        <v>42</v>
      </c>
      <c r="D1198" s="15" t="s">
        <v>2413</v>
      </c>
      <c r="E1198" s="13">
        <v>2</v>
      </c>
      <c r="F1198" s="13">
        <v>8</v>
      </c>
      <c r="G1198" s="13">
        <f t="shared" si="51"/>
        <v>212</v>
      </c>
      <c r="H1198" s="13">
        <v>96</v>
      </c>
      <c r="I1198" s="14">
        <f t="shared" si="52"/>
        <v>-95.413698630136992</v>
      </c>
      <c r="J1198" s="15" t="s">
        <v>2414</v>
      </c>
      <c r="T1198" s="8"/>
    </row>
    <row r="1199" spans="1:37" x14ac:dyDescent="0.2">
      <c r="A1199">
        <v>-95</v>
      </c>
      <c r="B1199" s="10" t="s">
        <v>285</v>
      </c>
      <c r="C1199" s="11" t="s">
        <v>45</v>
      </c>
      <c r="D1199" s="15" t="s">
        <v>2415</v>
      </c>
      <c r="E1199" s="13">
        <v>12</v>
      </c>
      <c r="F1199" s="13">
        <v>8</v>
      </c>
      <c r="G1199" s="13">
        <f t="shared" si="51"/>
        <v>212</v>
      </c>
      <c r="H1199" s="13">
        <v>96</v>
      </c>
      <c r="I1199" s="14">
        <f t="shared" si="52"/>
        <v>-95.38630136986302</v>
      </c>
      <c r="J1199" s="15" t="s">
        <v>2408</v>
      </c>
      <c r="T1199" s="8"/>
    </row>
    <row r="1200" spans="1:37" x14ac:dyDescent="0.2">
      <c r="A1200">
        <v>-95</v>
      </c>
      <c r="B1200" s="10" t="s">
        <v>72</v>
      </c>
      <c r="D1200" s="15" t="s">
        <v>2416</v>
      </c>
      <c r="E1200" s="13">
        <v>21</v>
      </c>
      <c r="F1200" s="13">
        <v>8</v>
      </c>
      <c r="G1200" s="13">
        <f t="shared" si="51"/>
        <v>212</v>
      </c>
      <c r="H1200" s="13">
        <v>96</v>
      </c>
      <c r="I1200" s="14">
        <f t="shared" si="52"/>
        <v>-95.361643835616434</v>
      </c>
      <c r="J1200" s="15" t="s">
        <v>2417</v>
      </c>
      <c r="T1200" s="8"/>
      <c r="AG1200" s="1">
        <v>1</v>
      </c>
      <c r="AH1200" s="9">
        <v>1</v>
      </c>
      <c r="AI1200" s="8">
        <f>1/AH1200</f>
        <v>1</v>
      </c>
      <c r="AJ1200" s="8">
        <f>8.33*AI1200</f>
        <v>8.33</v>
      </c>
    </row>
    <row r="1201" spans="1:37" x14ac:dyDescent="0.2">
      <c r="A1201">
        <v>-95</v>
      </c>
      <c r="B1201" s="10" t="s">
        <v>72</v>
      </c>
      <c r="C1201" s="11" t="s">
        <v>2418</v>
      </c>
      <c r="D1201" s="15" t="s">
        <v>2416</v>
      </c>
      <c r="E1201" s="13">
        <v>21</v>
      </c>
      <c r="F1201" s="13">
        <v>8</v>
      </c>
      <c r="G1201" s="13">
        <f t="shared" si="51"/>
        <v>212</v>
      </c>
      <c r="H1201" s="13">
        <v>96</v>
      </c>
      <c r="I1201" s="14">
        <f t="shared" si="52"/>
        <v>-95.361643835616434</v>
      </c>
      <c r="J1201" s="15" t="s">
        <v>2419</v>
      </c>
      <c r="K1201" s="10">
        <v>52.5</v>
      </c>
      <c r="L1201" s="16">
        <v>52.5</v>
      </c>
      <c r="M1201" s="16">
        <f>1000/L1201</f>
        <v>19.047619047619047</v>
      </c>
      <c r="N1201" s="16">
        <f>8.33*M1201</f>
        <v>158.66666666666666</v>
      </c>
      <c r="O1201" s="16">
        <f>1.613*N1201</f>
        <v>255.92933333333332</v>
      </c>
      <c r="T1201" s="8"/>
    </row>
    <row r="1202" spans="1:37" x14ac:dyDescent="0.2">
      <c r="A1202">
        <v>-95</v>
      </c>
      <c r="B1202" s="10" t="s">
        <v>72</v>
      </c>
      <c r="C1202" s="11" t="s">
        <v>2261</v>
      </c>
      <c r="D1202" s="26" t="s">
        <v>2420</v>
      </c>
      <c r="E1202" s="13">
        <v>5</v>
      </c>
      <c r="F1202" s="13">
        <v>9</v>
      </c>
      <c r="G1202" s="13">
        <f t="shared" si="51"/>
        <v>243</v>
      </c>
      <c r="H1202" s="13">
        <v>96</v>
      </c>
      <c r="I1202" s="14">
        <f t="shared" si="52"/>
        <v>-95.320547945205476</v>
      </c>
      <c r="J1202" s="26" t="s">
        <v>2417</v>
      </c>
      <c r="K1202" s="10" t="s">
        <v>208</v>
      </c>
      <c r="T1202" s="8"/>
    </row>
    <row r="1203" spans="1:37" x14ac:dyDescent="0.2">
      <c r="A1203">
        <v>-95</v>
      </c>
      <c r="B1203" s="10" t="s">
        <v>72</v>
      </c>
      <c r="C1203" s="11" t="s">
        <v>2421</v>
      </c>
      <c r="D1203" s="25" t="s">
        <v>2416</v>
      </c>
      <c r="E1203" s="13">
        <v>21</v>
      </c>
      <c r="F1203" s="13">
        <v>8</v>
      </c>
      <c r="G1203" s="13">
        <f t="shared" si="51"/>
        <v>212</v>
      </c>
      <c r="H1203" s="13">
        <v>96</v>
      </c>
      <c r="I1203" s="14">
        <f t="shared" si="52"/>
        <v>-95.361643835616434</v>
      </c>
      <c r="J1203" s="7" t="s">
        <v>2420</v>
      </c>
      <c r="T1203" s="8"/>
      <c r="AC1203">
        <v>12</v>
      </c>
      <c r="AD1203" s="17">
        <v>12</v>
      </c>
      <c r="AE1203" s="16">
        <f>1000/AD1203</f>
        <v>83.333333333333329</v>
      </c>
      <c r="AF1203" s="16">
        <f>8.33*AE1203</f>
        <v>694.16666666666663</v>
      </c>
    </row>
    <row r="1204" spans="1:37" x14ac:dyDescent="0.2">
      <c r="A1204">
        <v>-95</v>
      </c>
      <c r="B1204" s="10" t="s">
        <v>72</v>
      </c>
      <c r="C1204" s="11" t="s">
        <v>2235</v>
      </c>
      <c r="D1204" s="7" t="s">
        <v>2422</v>
      </c>
      <c r="E1204" s="13">
        <v>6</v>
      </c>
      <c r="F1204" s="13">
        <v>9</v>
      </c>
      <c r="G1204" s="13">
        <f t="shared" si="51"/>
        <v>243</v>
      </c>
      <c r="H1204" s="13">
        <v>96</v>
      </c>
      <c r="I1204" s="14">
        <f t="shared" si="52"/>
        <v>-95.317808219178076</v>
      </c>
      <c r="J1204" s="7" t="s">
        <v>2417</v>
      </c>
      <c r="T1204" s="8"/>
      <c r="AC1204">
        <v>12.75</v>
      </c>
      <c r="AD1204" s="17">
        <v>12.75</v>
      </c>
      <c r="AE1204" s="16">
        <f>1000/AD1204</f>
        <v>78.431372549019613</v>
      </c>
      <c r="AF1204" s="16">
        <f>8.33*AE1204</f>
        <v>653.33333333333337</v>
      </c>
    </row>
    <row r="1205" spans="1:37" x14ac:dyDescent="0.2">
      <c r="A1205">
        <v>-95</v>
      </c>
      <c r="B1205" s="10" t="s">
        <v>72</v>
      </c>
      <c r="C1205" s="11" t="s">
        <v>45</v>
      </c>
      <c r="D1205" s="15" t="s">
        <v>2423</v>
      </c>
      <c r="E1205" s="13">
        <v>10</v>
      </c>
      <c r="F1205" s="13">
        <v>9</v>
      </c>
      <c r="G1205" s="13">
        <f t="shared" si="51"/>
        <v>243</v>
      </c>
      <c r="H1205" s="13">
        <v>96</v>
      </c>
      <c r="I1205" s="14">
        <f t="shared" si="52"/>
        <v>-95.30684931506849</v>
      </c>
      <c r="J1205" s="15" t="s">
        <v>2417</v>
      </c>
      <c r="T1205" s="8"/>
    </row>
    <row r="1206" spans="1:37" x14ac:dyDescent="0.2">
      <c r="A1206">
        <v>-94</v>
      </c>
      <c r="B1206" s="10" t="s">
        <v>60</v>
      </c>
      <c r="D1206" s="15" t="s">
        <v>2424</v>
      </c>
      <c r="E1206" s="13">
        <v>14</v>
      </c>
      <c r="F1206" s="13">
        <v>4</v>
      </c>
      <c r="G1206" s="13">
        <f t="shared" si="51"/>
        <v>90</v>
      </c>
      <c r="H1206" s="13">
        <v>95</v>
      </c>
      <c r="I1206" s="14">
        <f t="shared" si="52"/>
        <v>-94.715068493150682</v>
      </c>
      <c r="J1206" s="15" t="s">
        <v>2425</v>
      </c>
      <c r="T1206" s="8"/>
      <c r="U1206" s="1" t="s">
        <v>647</v>
      </c>
      <c r="V1206" s="21">
        <v>216</v>
      </c>
      <c r="W1206" s="22">
        <f>1000/V1206</f>
        <v>4.6296296296296298</v>
      </c>
      <c r="X1206" s="22">
        <f>8.33*W1206</f>
        <v>38.564814814814817</v>
      </c>
    </row>
    <row r="1207" spans="1:37" x14ac:dyDescent="0.2">
      <c r="A1207">
        <v>-94</v>
      </c>
      <c r="B1207" s="10" t="s">
        <v>2373</v>
      </c>
      <c r="C1207" s="11" t="s">
        <v>39</v>
      </c>
      <c r="D1207" s="15" t="s">
        <v>2424</v>
      </c>
      <c r="E1207" s="13">
        <v>14</v>
      </c>
      <c r="F1207" s="13">
        <v>4</v>
      </c>
      <c r="G1207" s="13">
        <f t="shared" si="51"/>
        <v>90</v>
      </c>
      <c r="H1207" s="13">
        <v>95</v>
      </c>
      <c r="I1207" s="14">
        <f t="shared" si="52"/>
        <v>-94.715068493150682</v>
      </c>
      <c r="J1207" s="15" t="s">
        <v>2426</v>
      </c>
      <c r="T1207" s="8"/>
      <c r="V1207" s="9"/>
    </row>
    <row r="1208" spans="1:37" x14ac:dyDescent="0.2">
      <c r="A1208">
        <v>-94</v>
      </c>
      <c r="B1208" s="10" t="s">
        <v>2373</v>
      </c>
      <c r="C1208" s="11" t="s">
        <v>2269</v>
      </c>
      <c r="D1208" s="7" t="s">
        <v>2427</v>
      </c>
      <c r="E1208" s="13">
        <v>21</v>
      </c>
      <c r="F1208" s="13">
        <v>4</v>
      </c>
      <c r="G1208" s="13">
        <f t="shared" si="51"/>
        <v>90</v>
      </c>
      <c r="H1208" s="13">
        <v>95</v>
      </c>
      <c r="I1208" s="14">
        <f t="shared" si="52"/>
        <v>-94.69589041095891</v>
      </c>
      <c r="J1208" s="7" t="s">
        <v>2425</v>
      </c>
      <c r="P1208">
        <v>90</v>
      </c>
      <c r="Q1208" s="17">
        <v>90</v>
      </c>
      <c r="R1208" s="16">
        <f>1000/Q1208</f>
        <v>11.111111111111111</v>
      </c>
      <c r="S1208" s="16">
        <f>8.33*R1208</f>
        <v>92.555555555555557</v>
      </c>
      <c r="T1208" s="16">
        <f>S1208*1.33</f>
        <v>123.09888888888889</v>
      </c>
    </row>
    <row r="1209" spans="1:37" x14ac:dyDescent="0.2">
      <c r="A1209">
        <v>-94</v>
      </c>
      <c r="B1209" s="10" t="s">
        <v>2373</v>
      </c>
      <c r="C1209" s="11" t="s">
        <v>42</v>
      </c>
      <c r="D1209" s="15" t="s">
        <v>2428</v>
      </c>
      <c r="E1209" s="13">
        <v>24</v>
      </c>
      <c r="F1209" s="13">
        <v>4</v>
      </c>
      <c r="G1209" s="13">
        <f t="shared" si="51"/>
        <v>90</v>
      </c>
      <c r="H1209" s="13">
        <v>95</v>
      </c>
      <c r="I1209" s="14">
        <f t="shared" si="52"/>
        <v>-94.68767123287671</v>
      </c>
      <c r="J1209" s="15" t="s">
        <v>2429</v>
      </c>
      <c r="T1209" s="8"/>
      <c r="U1209" s="1"/>
      <c r="V1209" s="9"/>
    </row>
    <row r="1210" spans="1:37" x14ac:dyDescent="0.2">
      <c r="A1210">
        <v>-94</v>
      </c>
      <c r="B1210" s="10" t="s">
        <v>60</v>
      </c>
      <c r="C1210" s="11" t="s">
        <v>45</v>
      </c>
      <c r="D1210" s="15" t="s">
        <v>2430</v>
      </c>
      <c r="E1210" s="13">
        <v>4</v>
      </c>
      <c r="F1210" s="13">
        <v>5</v>
      </c>
      <c r="G1210" s="13">
        <f t="shared" si="51"/>
        <v>120</v>
      </c>
      <c r="H1210" s="13">
        <v>95</v>
      </c>
      <c r="I1210" s="14">
        <f t="shared" si="52"/>
        <v>-94.660273972602738</v>
      </c>
      <c r="J1210" s="15" t="s">
        <v>2425</v>
      </c>
      <c r="T1210" s="8"/>
      <c r="U1210" s="1"/>
      <c r="V1210" s="9"/>
    </row>
    <row r="1211" spans="1:37" x14ac:dyDescent="0.2">
      <c r="A1211">
        <v>-94</v>
      </c>
      <c r="B1211" s="10" t="s">
        <v>47</v>
      </c>
      <c r="D1211" s="15" t="s">
        <v>2431</v>
      </c>
      <c r="E1211" s="13">
        <v>14</v>
      </c>
      <c r="F1211" s="13">
        <v>5</v>
      </c>
      <c r="G1211" s="13">
        <f t="shared" si="51"/>
        <v>120</v>
      </c>
      <c r="H1211" s="13">
        <v>95</v>
      </c>
      <c r="I1211" s="14">
        <f t="shared" si="52"/>
        <v>-94.632876712328766</v>
      </c>
      <c r="J1211" s="15" t="s">
        <v>2432</v>
      </c>
      <c r="T1211" s="8"/>
      <c r="U1211" s="1"/>
      <c r="V1211" s="9"/>
      <c r="AG1211" s="1">
        <v>1.5</v>
      </c>
      <c r="AH1211" s="9">
        <v>1.5</v>
      </c>
      <c r="AI1211" s="8">
        <f>1/AH1211</f>
        <v>0.66666666666666663</v>
      </c>
      <c r="AJ1211" s="8">
        <f>8.33*AI1211</f>
        <v>5.5533333333333328</v>
      </c>
    </row>
    <row r="1212" spans="1:37" x14ac:dyDescent="0.2">
      <c r="A1212">
        <v>-94</v>
      </c>
      <c r="B1212" s="10" t="s">
        <v>47</v>
      </c>
      <c r="C1212" s="11" t="s">
        <v>39</v>
      </c>
      <c r="D1212" s="15" t="s">
        <v>2431</v>
      </c>
      <c r="E1212" s="13">
        <v>14</v>
      </c>
      <c r="F1212" s="13">
        <v>5</v>
      </c>
      <c r="G1212" s="13">
        <f t="shared" si="51"/>
        <v>120</v>
      </c>
      <c r="H1212" s="13">
        <v>95</v>
      </c>
      <c r="I1212" s="14">
        <f t="shared" si="52"/>
        <v>-94.632876712328766</v>
      </c>
      <c r="J1212" s="15" t="s">
        <v>2433</v>
      </c>
      <c r="T1212" s="8"/>
    </row>
    <row r="1213" spans="1:37" x14ac:dyDescent="0.2">
      <c r="A1213">
        <v>-94</v>
      </c>
      <c r="B1213" s="10" t="s">
        <v>47</v>
      </c>
      <c r="C1213" s="11" t="s">
        <v>42</v>
      </c>
      <c r="D1213" s="15" t="s">
        <v>2434</v>
      </c>
      <c r="E1213" s="13">
        <v>24</v>
      </c>
      <c r="F1213" s="13">
        <v>5</v>
      </c>
      <c r="G1213" s="13">
        <f t="shared" si="51"/>
        <v>120</v>
      </c>
      <c r="H1213" s="13">
        <v>95</v>
      </c>
      <c r="I1213" s="14">
        <f t="shared" si="52"/>
        <v>-94.605479452054794</v>
      </c>
      <c r="J1213" s="15" t="s">
        <v>2435</v>
      </c>
      <c r="T1213" s="8"/>
      <c r="AG1213" s="1"/>
      <c r="AH1213" s="9"/>
    </row>
    <row r="1214" spans="1:37" x14ac:dyDescent="0.2">
      <c r="A1214">
        <v>-94</v>
      </c>
      <c r="B1214" s="10" t="s">
        <v>47</v>
      </c>
      <c r="C1214" s="27" t="s">
        <v>2436</v>
      </c>
      <c r="D1214" s="25" t="s">
        <v>2431</v>
      </c>
      <c r="E1214" s="13">
        <v>14</v>
      </c>
      <c r="F1214" s="13">
        <v>5</v>
      </c>
      <c r="G1214" s="13">
        <f t="shared" si="51"/>
        <v>120</v>
      </c>
      <c r="H1214" s="13">
        <v>95</v>
      </c>
      <c r="I1214" s="14">
        <f t="shared" si="52"/>
        <v>-94.632876712328766</v>
      </c>
      <c r="J1214" s="33" t="s">
        <v>2437</v>
      </c>
      <c r="K1214" s="10" t="s">
        <v>2438</v>
      </c>
      <c r="L1214" s="19">
        <v>103</v>
      </c>
      <c r="M1214" s="19">
        <f>1000/L1214</f>
        <v>9.7087378640776691</v>
      </c>
      <c r="N1214" s="19">
        <f>8.33*M1214</f>
        <v>80.873786407766985</v>
      </c>
      <c r="O1214" s="19">
        <f>1.613*N1214</f>
        <v>130.44941747572815</v>
      </c>
      <c r="T1214" s="8"/>
      <c r="AG1214" s="1"/>
      <c r="AH1214" s="9"/>
      <c r="AK1214" t="s">
        <v>2439</v>
      </c>
    </row>
    <row r="1215" spans="1:37" x14ac:dyDescent="0.2">
      <c r="A1215">
        <v>-94</v>
      </c>
      <c r="B1215" s="10" t="s">
        <v>47</v>
      </c>
      <c r="C1215" s="11" t="s">
        <v>45</v>
      </c>
      <c r="D1215" s="15" t="s">
        <v>2437</v>
      </c>
      <c r="E1215" s="13">
        <v>3</v>
      </c>
      <c r="F1215" s="13">
        <v>6</v>
      </c>
      <c r="G1215" s="13">
        <f t="shared" si="51"/>
        <v>151</v>
      </c>
      <c r="H1215" s="13">
        <v>95</v>
      </c>
      <c r="I1215" s="14">
        <f t="shared" si="52"/>
        <v>-94.578082191780823</v>
      </c>
      <c r="J1215" s="15" t="s">
        <v>2432</v>
      </c>
      <c r="T1215" s="8"/>
      <c r="AG1215" s="1"/>
      <c r="AH1215" s="9"/>
    </row>
    <row r="1216" spans="1:37" x14ac:dyDescent="0.2">
      <c r="A1216">
        <v>-94</v>
      </c>
      <c r="B1216" s="10" t="s">
        <v>47</v>
      </c>
      <c r="C1216" s="11" t="s">
        <v>2440</v>
      </c>
      <c r="D1216" s="7" t="s">
        <v>2441</v>
      </c>
      <c r="E1216" s="13">
        <v>4</v>
      </c>
      <c r="F1216" s="13">
        <v>6</v>
      </c>
      <c r="G1216" s="13">
        <f t="shared" si="51"/>
        <v>151</v>
      </c>
      <c r="H1216" s="13">
        <v>95</v>
      </c>
      <c r="I1216" s="14">
        <f t="shared" si="52"/>
        <v>-94.575342465753423</v>
      </c>
      <c r="J1216" s="7" t="s">
        <v>2432</v>
      </c>
      <c r="K1216" s="10">
        <v>108</v>
      </c>
      <c r="L1216" s="16">
        <v>108</v>
      </c>
      <c r="M1216" s="16">
        <f>1000/L1216</f>
        <v>9.2592592592592595</v>
      </c>
      <c r="N1216" s="16">
        <f>8.33*M1216</f>
        <v>77.129629629629633</v>
      </c>
      <c r="O1216" s="16">
        <f>1.613*N1216</f>
        <v>124.41009259259259</v>
      </c>
      <c r="T1216" s="8"/>
      <c r="AC1216" t="s">
        <v>2442</v>
      </c>
      <c r="AD1216" s="20">
        <v>11.25</v>
      </c>
      <c r="AE1216" s="19">
        <f>1000/AD1216</f>
        <v>88.888888888888886</v>
      </c>
      <c r="AF1216" s="19">
        <f>8.33*AE1216</f>
        <v>740.44444444444446</v>
      </c>
      <c r="AG1216" t="s">
        <v>1259</v>
      </c>
      <c r="AH1216" s="17" t="s">
        <v>1259</v>
      </c>
      <c r="AK1216" t="s">
        <v>447</v>
      </c>
    </row>
    <row r="1217" spans="1:37" x14ac:dyDescent="0.2">
      <c r="A1217">
        <v>-93</v>
      </c>
      <c r="B1217" s="10" t="s">
        <v>130</v>
      </c>
      <c r="D1217" s="15" t="s">
        <v>2443</v>
      </c>
      <c r="E1217" s="13">
        <v>1</v>
      </c>
      <c r="F1217" s="13">
        <v>7</v>
      </c>
      <c r="G1217" s="13">
        <f t="shared" si="51"/>
        <v>181</v>
      </c>
      <c r="H1217" s="13">
        <v>94</v>
      </c>
      <c r="I1217" s="14">
        <f t="shared" si="52"/>
        <v>-93.501369863013693</v>
      </c>
      <c r="J1217" s="15" t="s">
        <v>2444</v>
      </c>
      <c r="P1217" s="1">
        <v>60</v>
      </c>
      <c r="Q1217" s="9">
        <v>60</v>
      </c>
      <c r="R1217" s="8">
        <f>1000/Q1217</f>
        <v>16.666666666666668</v>
      </c>
      <c r="S1217" s="8">
        <f>8.33*R1217</f>
        <v>138.83333333333334</v>
      </c>
      <c r="T1217" s="8">
        <f>S1217*1.33</f>
        <v>184.64833333333337</v>
      </c>
      <c r="U1217" s="1">
        <v>144</v>
      </c>
      <c r="V1217" s="9">
        <v>144</v>
      </c>
      <c r="W1217" s="8">
        <f>1000/V1217</f>
        <v>6.9444444444444446</v>
      </c>
      <c r="X1217" s="8">
        <f>8.33*W1217</f>
        <v>57.847222222222221</v>
      </c>
      <c r="Y1217" s="1">
        <v>22.5</v>
      </c>
      <c r="Z1217" s="9">
        <v>22.5</v>
      </c>
      <c r="AA1217" s="8">
        <f>1000/Z1217</f>
        <v>44.444444444444443</v>
      </c>
      <c r="AB1217" s="8">
        <f>8.33*AA1217</f>
        <v>370.22222222222223</v>
      </c>
      <c r="AC1217" s="1">
        <v>9</v>
      </c>
      <c r="AD1217" s="9">
        <v>9</v>
      </c>
      <c r="AE1217" s="8">
        <f>1000/AD1217</f>
        <v>111.11111111111111</v>
      </c>
      <c r="AF1217" s="8">
        <f>8.33*AE1217</f>
        <v>925.55555555555554</v>
      </c>
    </row>
    <row r="1218" spans="1:37" x14ac:dyDescent="0.2">
      <c r="A1218">
        <v>-93</v>
      </c>
      <c r="B1218" s="10" t="s">
        <v>1827</v>
      </c>
      <c r="C1218" s="11" t="s">
        <v>39</v>
      </c>
      <c r="D1218" s="15" t="s">
        <v>2443</v>
      </c>
      <c r="E1218" s="13">
        <v>1</v>
      </c>
      <c r="F1218" s="13">
        <v>7</v>
      </c>
      <c r="G1218" s="13">
        <f t="shared" ref="G1218:G1281" si="53">INDEX(A$1502:A$1513,F1218)</f>
        <v>181</v>
      </c>
      <c r="H1218" s="13">
        <v>94</v>
      </c>
      <c r="I1218" s="14">
        <f t="shared" si="52"/>
        <v>-93.501369863013693</v>
      </c>
      <c r="J1218" s="15" t="s">
        <v>2445</v>
      </c>
      <c r="T1218" s="8"/>
    </row>
    <row r="1219" spans="1:37" x14ac:dyDescent="0.2">
      <c r="A1219">
        <v>-93</v>
      </c>
      <c r="B1219" s="10" t="s">
        <v>130</v>
      </c>
      <c r="C1219" s="11" t="s">
        <v>42</v>
      </c>
      <c r="D1219" s="15" t="s">
        <v>2446</v>
      </c>
      <c r="E1219" s="13">
        <v>11</v>
      </c>
      <c r="F1219" s="13">
        <v>7</v>
      </c>
      <c r="G1219" s="13">
        <f t="shared" si="53"/>
        <v>181</v>
      </c>
      <c r="H1219" s="13">
        <v>94</v>
      </c>
      <c r="I1219" s="14">
        <f t="shared" ref="I1219:I1282" si="54">($E1219+$G1219)/365-$H1219</f>
        <v>-93.473972602739721</v>
      </c>
      <c r="J1219" s="15" t="s">
        <v>2447</v>
      </c>
      <c r="P1219" s="1"/>
      <c r="Q1219" s="9"/>
      <c r="T1219" s="8"/>
    </row>
    <row r="1220" spans="1:37" x14ac:dyDescent="0.2">
      <c r="A1220">
        <v>-93</v>
      </c>
      <c r="B1220" s="10" t="s">
        <v>130</v>
      </c>
      <c r="C1220" s="11" t="s">
        <v>45</v>
      </c>
      <c r="D1220" s="15" t="s">
        <v>2448</v>
      </c>
      <c r="E1220" s="13">
        <v>21</v>
      </c>
      <c r="F1220" s="13">
        <v>7</v>
      </c>
      <c r="G1220" s="13">
        <f t="shared" si="53"/>
        <v>181</v>
      </c>
      <c r="H1220" s="13">
        <v>94</v>
      </c>
      <c r="I1220" s="14">
        <f t="shared" si="54"/>
        <v>-93.446575342465749</v>
      </c>
      <c r="J1220" s="15" t="s">
        <v>2444</v>
      </c>
      <c r="K1220" s="10">
        <v>102</v>
      </c>
      <c r="L1220" s="16">
        <v>102</v>
      </c>
      <c r="M1220" s="16">
        <f>1000/L1220</f>
        <v>9.8039215686274517</v>
      </c>
      <c r="N1220" s="16">
        <f>8.33*M1220</f>
        <v>81.666666666666671</v>
      </c>
      <c r="O1220" s="16">
        <f>1.613*N1220</f>
        <v>131.72833333333335</v>
      </c>
      <c r="T1220" s="8"/>
      <c r="AK1220" t="s">
        <v>2449</v>
      </c>
    </row>
    <row r="1221" spans="1:37" x14ac:dyDescent="0.2">
      <c r="A1221">
        <v>-93</v>
      </c>
      <c r="B1221" s="10" t="s">
        <v>285</v>
      </c>
      <c r="D1221" s="15" t="s">
        <v>2450</v>
      </c>
      <c r="E1221" s="13">
        <v>31</v>
      </c>
      <c r="F1221" s="13">
        <v>7</v>
      </c>
      <c r="G1221" s="13">
        <f t="shared" si="53"/>
        <v>181</v>
      </c>
      <c r="H1221" s="13">
        <v>94</v>
      </c>
      <c r="I1221" s="14">
        <f t="shared" si="54"/>
        <v>-93.419178082191777</v>
      </c>
      <c r="J1221" s="15" t="s">
        <v>2451</v>
      </c>
      <c r="T1221" s="8"/>
      <c r="U1221" s="1">
        <v>144</v>
      </c>
      <c r="V1221" s="9">
        <v>144</v>
      </c>
      <c r="W1221" s="8">
        <f>1000/V1221</f>
        <v>6.9444444444444446</v>
      </c>
      <c r="X1221" s="8">
        <f>8.33*W1221</f>
        <v>57.847222222222221</v>
      </c>
    </row>
    <row r="1222" spans="1:37" x14ac:dyDescent="0.2">
      <c r="A1222">
        <v>-93</v>
      </c>
      <c r="B1222" s="10" t="s">
        <v>285</v>
      </c>
      <c r="C1222" s="11" t="s">
        <v>39</v>
      </c>
      <c r="D1222" s="15" t="s">
        <v>2450</v>
      </c>
      <c r="E1222" s="13">
        <v>31</v>
      </c>
      <c r="F1222" s="13">
        <v>7</v>
      </c>
      <c r="G1222" s="13">
        <f t="shared" si="53"/>
        <v>181</v>
      </c>
      <c r="H1222" s="13">
        <v>94</v>
      </c>
      <c r="I1222" s="14">
        <f t="shared" si="54"/>
        <v>-93.419178082191777</v>
      </c>
      <c r="J1222" s="15" t="s">
        <v>2452</v>
      </c>
      <c r="K1222" s="10">
        <v>102</v>
      </c>
      <c r="L1222" s="16">
        <v>102</v>
      </c>
      <c r="M1222" s="16">
        <f>1000/L1222</f>
        <v>9.8039215686274517</v>
      </c>
      <c r="N1222" s="16">
        <f>8.33*M1222</f>
        <v>81.666666666666671</v>
      </c>
      <c r="O1222" s="16">
        <f>1.613*N1222</f>
        <v>131.72833333333335</v>
      </c>
      <c r="T1222" s="8"/>
    </row>
    <row r="1223" spans="1:37" x14ac:dyDescent="0.2">
      <c r="A1223">
        <v>-93</v>
      </c>
      <c r="B1223" s="10" t="s">
        <v>285</v>
      </c>
      <c r="C1223" s="11" t="s">
        <v>2409</v>
      </c>
      <c r="D1223" s="7" t="s">
        <v>2450</v>
      </c>
      <c r="E1223" s="13">
        <v>31</v>
      </c>
      <c r="F1223" s="13">
        <v>7</v>
      </c>
      <c r="G1223" s="13">
        <f t="shared" si="53"/>
        <v>181</v>
      </c>
      <c r="H1223" s="13">
        <v>94</v>
      </c>
      <c r="I1223" s="14">
        <f t="shared" si="54"/>
        <v>-93.419178082191777</v>
      </c>
      <c r="J1223" s="7" t="s">
        <v>2453</v>
      </c>
      <c r="P1223">
        <v>57</v>
      </c>
      <c r="Q1223" s="17">
        <v>57</v>
      </c>
      <c r="R1223" s="16">
        <f>1000/Q1223</f>
        <v>17.543859649122808</v>
      </c>
      <c r="S1223" s="16">
        <f>8.33*R1223</f>
        <v>146.14035087719299</v>
      </c>
      <c r="T1223" s="16">
        <f>S1223*1.33</f>
        <v>194.36666666666667</v>
      </c>
    </row>
    <row r="1224" spans="1:37" x14ac:dyDescent="0.2">
      <c r="A1224">
        <v>-93</v>
      </c>
      <c r="B1224" s="10" t="s">
        <v>285</v>
      </c>
      <c r="C1224" s="11" t="s">
        <v>42</v>
      </c>
      <c r="D1224" s="15" t="s">
        <v>2454</v>
      </c>
      <c r="E1224" s="13">
        <v>10</v>
      </c>
      <c r="F1224" s="13">
        <v>8</v>
      </c>
      <c r="G1224" s="13">
        <f t="shared" si="53"/>
        <v>212</v>
      </c>
      <c r="H1224" s="13">
        <v>94</v>
      </c>
      <c r="I1224" s="14">
        <f t="shared" si="54"/>
        <v>-93.391780821917806</v>
      </c>
      <c r="J1224" s="15" t="s">
        <v>2455</v>
      </c>
      <c r="T1224" s="8"/>
    </row>
    <row r="1225" spans="1:37" x14ac:dyDescent="0.2">
      <c r="A1225">
        <v>-93</v>
      </c>
      <c r="B1225" s="10" t="s">
        <v>285</v>
      </c>
      <c r="C1225" s="11" t="s">
        <v>2261</v>
      </c>
      <c r="D1225" s="7" t="s">
        <v>2456</v>
      </c>
      <c r="E1225" s="13">
        <v>15</v>
      </c>
      <c r="F1225" s="13">
        <v>8</v>
      </c>
      <c r="G1225" s="13">
        <f t="shared" si="53"/>
        <v>212</v>
      </c>
      <c r="H1225" s="13">
        <v>94</v>
      </c>
      <c r="I1225" s="14">
        <f t="shared" si="54"/>
        <v>-93.37808219178082</v>
      </c>
      <c r="J1225" s="7" t="s">
        <v>2451</v>
      </c>
      <c r="P1225">
        <v>55.5</v>
      </c>
      <c r="Q1225" s="17">
        <v>55.5</v>
      </c>
      <c r="R1225" s="16">
        <f>1000/Q1225</f>
        <v>18.018018018018019</v>
      </c>
      <c r="S1225" s="16">
        <f>8.33*R1225</f>
        <v>150.09009009009009</v>
      </c>
      <c r="T1225" s="16">
        <f>S1225*1.33</f>
        <v>199.61981981981984</v>
      </c>
    </row>
    <row r="1226" spans="1:37" x14ac:dyDescent="0.2">
      <c r="A1226">
        <v>-93</v>
      </c>
      <c r="B1226" s="10" t="s">
        <v>285</v>
      </c>
      <c r="C1226" s="11" t="s">
        <v>45</v>
      </c>
      <c r="D1226" s="15" t="s">
        <v>2457</v>
      </c>
      <c r="E1226" s="13">
        <v>20</v>
      </c>
      <c r="F1226" s="13">
        <v>8</v>
      </c>
      <c r="G1226" s="13">
        <f t="shared" si="53"/>
        <v>212</v>
      </c>
      <c r="H1226" s="13">
        <v>94</v>
      </c>
      <c r="I1226" s="14">
        <f t="shared" si="54"/>
        <v>-93.364383561643834</v>
      </c>
      <c r="J1226" s="15">
        <v>34575</v>
      </c>
      <c r="K1226" s="10">
        <v>108</v>
      </c>
      <c r="L1226" s="16">
        <v>108</v>
      </c>
      <c r="M1226" s="16">
        <f>1000/L1226</f>
        <v>9.2592592592592595</v>
      </c>
      <c r="N1226" s="16">
        <f>8.33*M1226</f>
        <v>77.129629629629633</v>
      </c>
      <c r="O1226" s="16">
        <f>1.613*N1226</f>
        <v>124.41009259259259</v>
      </c>
      <c r="T1226" s="8"/>
    </row>
    <row r="1227" spans="1:37" x14ac:dyDescent="0.2">
      <c r="A1227">
        <v>-93</v>
      </c>
      <c r="B1227" s="10" t="s">
        <v>83</v>
      </c>
      <c r="C1227" s="11" t="s">
        <v>2458</v>
      </c>
      <c r="D1227" s="7" t="s">
        <v>2459</v>
      </c>
      <c r="E1227" s="13">
        <v>3</v>
      </c>
      <c r="F1227" s="13">
        <v>2</v>
      </c>
      <c r="G1227" s="13">
        <f t="shared" si="53"/>
        <v>31</v>
      </c>
      <c r="H1227" s="13">
        <v>93</v>
      </c>
      <c r="I1227" s="14">
        <f t="shared" si="54"/>
        <v>-92.906849315068499</v>
      </c>
      <c r="J1227" s="7" t="s">
        <v>2460</v>
      </c>
      <c r="K1227" s="10">
        <v>90</v>
      </c>
      <c r="L1227" s="16">
        <v>90</v>
      </c>
      <c r="M1227" s="16">
        <f>1000/L1227</f>
        <v>11.111111111111111</v>
      </c>
      <c r="N1227" s="16">
        <f>8.33*M1227</f>
        <v>92.555555555555557</v>
      </c>
      <c r="O1227" s="16">
        <f>1.613*N1227</f>
        <v>149.29211111111113</v>
      </c>
      <c r="T1227" s="8"/>
      <c r="AK1227" t="s">
        <v>2461</v>
      </c>
    </row>
    <row r="1228" spans="1:37" x14ac:dyDescent="0.2">
      <c r="A1228">
        <v>-93</v>
      </c>
      <c r="B1228" s="29" t="s">
        <v>127</v>
      </c>
      <c r="C1228" s="11" t="s">
        <v>2176</v>
      </c>
      <c r="D1228" s="7" t="s">
        <v>2462</v>
      </c>
      <c r="E1228" s="13">
        <v>22</v>
      </c>
      <c r="F1228" s="13">
        <v>2</v>
      </c>
      <c r="G1228" s="13">
        <f t="shared" si="53"/>
        <v>31</v>
      </c>
      <c r="H1228" s="13">
        <v>93</v>
      </c>
      <c r="I1228" s="14">
        <f t="shared" si="54"/>
        <v>-92.854794520547941</v>
      </c>
      <c r="J1228" s="7" t="s">
        <v>2463</v>
      </c>
      <c r="K1228" s="10">
        <v>90</v>
      </c>
      <c r="L1228" s="16">
        <v>90</v>
      </c>
      <c r="M1228" s="16">
        <f>1000/L1228</f>
        <v>11.111111111111111</v>
      </c>
      <c r="N1228" s="16">
        <f>8.33*M1228</f>
        <v>92.555555555555557</v>
      </c>
      <c r="O1228" s="16">
        <f>1.613*N1228</f>
        <v>149.29211111111113</v>
      </c>
      <c r="T1228" s="8"/>
      <c r="AK1228" t="s">
        <v>2464</v>
      </c>
    </row>
    <row r="1229" spans="1:37" x14ac:dyDescent="0.2">
      <c r="A1229">
        <v>-93</v>
      </c>
      <c r="B1229" s="29" t="s">
        <v>127</v>
      </c>
      <c r="C1229" s="11" t="s">
        <v>2346</v>
      </c>
      <c r="D1229" s="7" t="s">
        <v>2465</v>
      </c>
      <c r="E1229" s="13">
        <v>5</v>
      </c>
      <c r="F1229" s="13">
        <v>3</v>
      </c>
      <c r="G1229" s="13">
        <f t="shared" si="53"/>
        <v>59</v>
      </c>
      <c r="H1229" s="13">
        <v>93</v>
      </c>
      <c r="I1229" s="14">
        <f t="shared" si="54"/>
        <v>-92.824657534246569</v>
      </c>
      <c r="J1229" s="7" t="s">
        <v>2466</v>
      </c>
      <c r="K1229" s="10">
        <v>90</v>
      </c>
      <c r="L1229" s="16">
        <v>90</v>
      </c>
      <c r="M1229" s="16">
        <f>1000/L1229</f>
        <v>11.111111111111111</v>
      </c>
      <c r="N1229" s="16">
        <f>8.33*M1229</f>
        <v>92.555555555555557</v>
      </c>
      <c r="O1229" s="16">
        <f>1.613*N1229</f>
        <v>149.29211111111113</v>
      </c>
      <c r="T1229" s="8"/>
      <c r="AK1229" t="s">
        <v>2467</v>
      </c>
    </row>
    <row r="1230" spans="1:37" x14ac:dyDescent="0.2">
      <c r="A1230">
        <v>-93</v>
      </c>
      <c r="B1230" s="29" t="s">
        <v>162</v>
      </c>
      <c r="C1230" s="11" t="s">
        <v>2176</v>
      </c>
      <c r="D1230" s="7" t="s">
        <v>2468</v>
      </c>
      <c r="E1230" s="13">
        <v>23</v>
      </c>
      <c r="F1230" s="13">
        <v>3</v>
      </c>
      <c r="G1230" s="13">
        <f t="shared" si="53"/>
        <v>59</v>
      </c>
      <c r="H1230" s="13">
        <v>93</v>
      </c>
      <c r="I1230" s="14">
        <f t="shared" si="54"/>
        <v>-92.775342465753425</v>
      </c>
      <c r="J1230" s="7" t="s">
        <v>2469</v>
      </c>
      <c r="K1230" s="10">
        <v>90</v>
      </c>
      <c r="L1230" s="16">
        <v>90</v>
      </c>
      <c r="M1230" s="16">
        <f>1000/L1230</f>
        <v>11.111111111111111</v>
      </c>
      <c r="N1230" s="16">
        <f>8.33*M1230</f>
        <v>92.555555555555557</v>
      </c>
      <c r="O1230" s="16">
        <f>1.613*N1230</f>
        <v>149.29211111111113</v>
      </c>
      <c r="T1230" s="8"/>
      <c r="AK1230" t="s">
        <v>2467</v>
      </c>
    </row>
    <row r="1231" spans="1:37" x14ac:dyDescent="0.2">
      <c r="A1231">
        <v>-90</v>
      </c>
      <c r="B1231" s="10" t="s">
        <v>94</v>
      </c>
      <c r="D1231" s="15" t="s">
        <v>2470</v>
      </c>
      <c r="E1231" s="13">
        <v>24</v>
      </c>
      <c r="F1231" s="13">
        <v>10</v>
      </c>
      <c r="G1231" s="13">
        <f t="shared" si="53"/>
        <v>273</v>
      </c>
      <c r="H1231" s="13">
        <v>91</v>
      </c>
      <c r="I1231" s="14">
        <f t="shared" si="54"/>
        <v>-90.186301369863017</v>
      </c>
      <c r="J1231" s="15" t="s">
        <v>2471</v>
      </c>
      <c r="T1231" s="8"/>
      <c r="AG1231" s="1">
        <v>1.5</v>
      </c>
      <c r="AH1231" s="9">
        <v>1.5</v>
      </c>
      <c r="AI1231" s="8">
        <f>1/AH1231</f>
        <v>0.66666666666666663</v>
      </c>
      <c r="AJ1231" s="8">
        <f>8.33*AI1231</f>
        <v>5.5533333333333328</v>
      </c>
    </row>
    <row r="1232" spans="1:37" x14ac:dyDescent="0.2">
      <c r="A1232">
        <v>-90</v>
      </c>
      <c r="B1232" s="10" t="s">
        <v>94</v>
      </c>
      <c r="C1232" s="11" t="s">
        <v>39</v>
      </c>
      <c r="D1232" s="15" t="s">
        <v>2470</v>
      </c>
      <c r="E1232" s="13">
        <v>24</v>
      </c>
      <c r="F1232" s="13">
        <v>1</v>
      </c>
      <c r="G1232" s="13">
        <f t="shared" si="53"/>
        <v>0</v>
      </c>
      <c r="H1232" s="13">
        <v>91</v>
      </c>
      <c r="I1232" s="14">
        <f t="shared" si="54"/>
        <v>-90.93424657534247</v>
      </c>
      <c r="J1232" s="15" t="s">
        <v>2472</v>
      </c>
      <c r="T1232" s="8"/>
    </row>
    <row r="1233" spans="1:36" x14ac:dyDescent="0.2">
      <c r="A1233">
        <v>-90</v>
      </c>
      <c r="B1233" s="10" t="s">
        <v>94</v>
      </c>
      <c r="C1233" s="11" t="s">
        <v>1606</v>
      </c>
      <c r="D1233" s="7" t="s">
        <v>2470</v>
      </c>
      <c r="E1233" s="13">
        <v>24</v>
      </c>
      <c r="F1233" s="13">
        <v>10</v>
      </c>
      <c r="G1233" s="13">
        <f t="shared" si="53"/>
        <v>273</v>
      </c>
      <c r="H1233" s="13">
        <v>91</v>
      </c>
      <c r="I1233" s="14">
        <f t="shared" si="54"/>
        <v>-90.186301369863017</v>
      </c>
      <c r="J1233" s="7" t="s">
        <v>2473</v>
      </c>
      <c r="K1233" s="10">
        <v>67.5</v>
      </c>
      <c r="L1233" s="16">
        <v>67.5</v>
      </c>
      <c r="M1233" s="16">
        <f>1000/L1233</f>
        <v>14.814814814814815</v>
      </c>
      <c r="N1233" s="16">
        <f>8.33*M1233</f>
        <v>123.4074074074074</v>
      </c>
      <c r="O1233" s="16">
        <f>1.613*N1233</f>
        <v>199.05614814814814</v>
      </c>
      <c r="T1233" s="8"/>
    </row>
    <row r="1234" spans="1:36" x14ac:dyDescent="0.2">
      <c r="A1234">
        <v>-90</v>
      </c>
      <c r="B1234" s="10" t="s">
        <v>94</v>
      </c>
      <c r="C1234" s="11" t="s">
        <v>2474</v>
      </c>
      <c r="D1234" s="25" t="s">
        <v>2475</v>
      </c>
      <c r="E1234" s="13">
        <v>9</v>
      </c>
      <c r="F1234" s="13">
        <v>11</v>
      </c>
      <c r="G1234" s="13">
        <f t="shared" si="53"/>
        <v>304</v>
      </c>
      <c r="H1234" s="13">
        <v>91</v>
      </c>
      <c r="I1234" s="14">
        <f t="shared" si="54"/>
        <v>-90.142465753424659</v>
      </c>
      <c r="J1234" s="7" t="s">
        <v>2476</v>
      </c>
      <c r="P1234">
        <v>46</v>
      </c>
      <c r="Q1234" s="17">
        <v>46</v>
      </c>
      <c r="R1234" s="16">
        <f>1000/Q1234</f>
        <v>21.739130434782609</v>
      </c>
      <c r="S1234" s="16">
        <f>8.33*R1234</f>
        <v>181.08695652173913</v>
      </c>
      <c r="T1234" s="16">
        <f>S1234*1.33</f>
        <v>240.84565217391304</v>
      </c>
    </row>
    <row r="1235" spans="1:36" x14ac:dyDescent="0.2">
      <c r="A1235">
        <v>-90</v>
      </c>
      <c r="B1235" s="10" t="s">
        <v>94</v>
      </c>
      <c r="C1235" s="11" t="s">
        <v>42</v>
      </c>
      <c r="D1235" s="15" t="s">
        <v>2477</v>
      </c>
      <c r="E1235" s="13">
        <v>3</v>
      </c>
      <c r="F1235" s="13">
        <v>11</v>
      </c>
      <c r="G1235" s="13">
        <f t="shared" si="53"/>
        <v>304</v>
      </c>
      <c r="H1235" s="13">
        <v>91</v>
      </c>
      <c r="I1235" s="14">
        <f t="shared" si="54"/>
        <v>-90.158904109589045</v>
      </c>
      <c r="J1235" s="15" t="s">
        <v>2478</v>
      </c>
      <c r="AC1235" s="24">
        <v>11.37</v>
      </c>
      <c r="AD1235" s="20">
        <v>11.37</v>
      </c>
      <c r="AE1235" s="19">
        <f>1000/AD1235</f>
        <v>87.950747581354449</v>
      </c>
      <c r="AF1235" s="19">
        <f>8.33*AE1235</f>
        <v>732.62972735268261</v>
      </c>
    </row>
    <row r="1236" spans="1:36" x14ac:dyDescent="0.2">
      <c r="A1236">
        <v>-90</v>
      </c>
      <c r="B1236" s="10" t="s">
        <v>94</v>
      </c>
      <c r="C1236" s="11">
        <v>19</v>
      </c>
      <c r="D1236" s="7" t="s">
        <v>2479</v>
      </c>
      <c r="E1236" s="13">
        <v>11</v>
      </c>
      <c r="F1236" s="13">
        <v>11</v>
      </c>
      <c r="G1236" s="13">
        <f t="shared" si="53"/>
        <v>304</v>
      </c>
      <c r="H1236" s="13">
        <v>91</v>
      </c>
      <c r="I1236" s="14">
        <f t="shared" si="54"/>
        <v>-90.136986301369859</v>
      </c>
      <c r="P1236">
        <v>45</v>
      </c>
      <c r="Q1236" s="17">
        <v>45</v>
      </c>
      <c r="R1236" s="16">
        <f>1000/Q1236</f>
        <v>22.222222222222221</v>
      </c>
      <c r="S1236" s="16">
        <f>8.33*R1236</f>
        <v>185.11111111111111</v>
      </c>
      <c r="T1236" s="16">
        <f>S1236*1.33</f>
        <v>246.19777777777779</v>
      </c>
    </row>
    <row r="1237" spans="1:36" x14ac:dyDescent="0.2">
      <c r="A1237">
        <v>-90</v>
      </c>
      <c r="B1237" s="10" t="s">
        <v>94</v>
      </c>
      <c r="C1237" s="11">
        <v>20</v>
      </c>
      <c r="D1237" s="7" t="s">
        <v>2478</v>
      </c>
      <c r="E1237" s="13">
        <v>12</v>
      </c>
      <c r="F1237" s="13">
        <v>11</v>
      </c>
      <c r="G1237" s="13">
        <f t="shared" si="53"/>
        <v>304</v>
      </c>
      <c r="H1237" s="13">
        <v>91</v>
      </c>
      <c r="I1237" s="14">
        <f t="shared" si="54"/>
        <v>-90.134246575342459</v>
      </c>
      <c r="P1237">
        <v>44</v>
      </c>
      <c r="Q1237" s="17">
        <v>44</v>
      </c>
      <c r="R1237" s="16">
        <f>1000/Q1237</f>
        <v>22.727272727272727</v>
      </c>
      <c r="S1237" s="16">
        <f>8.33*R1237</f>
        <v>189.31818181818181</v>
      </c>
      <c r="T1237" s="16">
        <f>S1237*1.33</f>
        <v>251.79318181818184</v>
      </c>
    </row>
    <row r="1238" spans="1:36" x14ac:dyDescent="0.2">
      <c r="A1238">
        <v>-90</v>
      </c>
      <c r="B1238" s="10" t="s">
        <v>94</v>
      </c>
      <c r="C1238" s="11">
        <v>21</v>
      </c>
      <c r="D1238" s="7" t="s">
        <v>2480</v>
      </c>
      <c r="E1238" s="13">
        <v>13</v>
      </c>
      <c r="F1238" s="13">
        <v>11</v>
      </c>
      <c r="G1238" s="13">
        <f t="shared" si="53"/>
        <v>304</v>
      </c>
      <c r="H1238" s="13">
        <v>91</v>
      </c>
      <c r="I1238" s="14">
        <f t="shared" si="54"/>
        <v>-90.131506849315073</v>
      </c>
      <c r="P1238">
        <v>42</v>
      </c>
      <c r="Q1238" s="17">
        <v>42</v>
      </c>
      <c r="R1238" s="16">
        <f>1000/Q1238</f>
        <v>23.80952380952381</v>
      </c>
      <c r="S1238" s="16">
        <f>8.33*R1238</f>
        <v>198.33333333333334</v>
      </c>
      <c r="T1238" s="16">
        <f>S1238*1.33</f>
        <v>263.78333333333336</v>
      </c>
    </row>
    <row r="1239" spans="1:36" x14ac:dyDescent="0.2">
      <c r="A1239">
        <v>-90</v>
      </c>
      <c r="B1239" s="10" t="s">
        <v>94</v>
      </c>
      <c r="C1239" s="11" t="s">
        <v>45</v>
      </c>
      <c r="D1239" s="15" t="s">
        <v>2480</v>
      </c>
      <c r="E1239" s="13">
        <v>13</v>
      </c>
      <c r="F1239" s="13">
        <v>11</v>
      </c>
      <c r="G1239" s="13">
        <f t="shared" si="53"/>
        <v>304</v>
      </c>
      <c r="H1239" s="13">
        <v>91</v>
      </c>
      <c r="I1239" s="14">
        <f t="shared" si="54"/>
        <v>-90.131506849315073</v>
      </c>
      <c r="J1239" s="15" t="s">
        <v>2471</v>
      </c>
      <c r="AC1239">
        <v>12</v>
      </c>
      <c r="AD1239" s="17">
        <v>12</v>
      </c>
      <c r="AE1239" s="16">
        <f>1000/AD1239</f>
        <v>83.333333333333329</v>
      </c>
      <c r="AF1239" s="16">
        <f>8.33*AE1239</f>
        <v>694.16666666666663</v>
      </c>
    </row>
    <row r="1240" spans="1:36" x14ac:dyDescent="0.2">
      <c r="A1240">
        <v>-90</v>
      </c>
      <c r="B1240" s="10" t="s">
        <v>94</v>
      </c>
      <c r="C1240" s="11" t="s">
        <v>2481</v>
      </c>
      <c r="D1240" s="7" t="s">
        <v>2482</v>
      </c>
      <c r="E1240" s="13">
        <v>14</v>
      </c>
      <c r="F1240" s="13">
        <v>11</v>
      </c>
      <c r="G1240" s="13">
        <f t="shared" si="53"/>
        <v>304</v>
      </c>
      <c r="H1240" s="13">
        <v>91</v>
      </c>
      <c r="I1240" s="14">
        <f t="shared" si="54"/>
        <v>-90.128767123287673</v>
      </c>
      <c r="J1240" s="7" t="s">
        <v>2483</v>
      </c>
      <c r="P1240">
        <v>40</v>
      </c>
      <c r="Q1240" s="17">
        <v>40</v>
      </c>
      <c r="R1240" s="16">
        <f>1000/Q1240</f>
        <v>25</v>
      </c>
      <c r="S1240" s="16">
        <f>8.33*R1240</f>
        <v>208.25</v>
      </c>
      <c r="T1240" s="16">
        <f>S1240*1.33</f>
        <v>276.97250000000003</v>
      </c>
    </row>
    <row r="1241" spans="1:36" x14ac:dyDescent="0.2">
      <c r="A1241">
        <v>-90</v>
      </c>
      <c r="B1241" s="10" t="s">
        <v>94</v>
      </c>
      <c r="C1241" s="11">
        <v>24</v>
      </c>
      <c r="D1241" s="7" t="s">
        <v>2484</v>
      </c>
      <c r="E1241" s="13">
        <v>16</v>
      </c>
      <c r="F1241" s="13">
        <v>11</v>
      </c>
      <c r="G1241" s="13">
        <f t="shared" si="53"/>
        <v>304</v>
      </c>
      <c r="H1241" s="13">
        <v>91</v>
      </c>
      <c r="I1241" s="14">
        <f t="shared" si="54"/>
        <v>-90.123287671232873</v>
      </c>
      <c r="K1241" s="10" t="s">
        <v>41</v>
      </c>
    </row>
    <row r="1242" spans="1:36" x14ac:dyDescent="0.2">
      <c r="A1242">
        <v>-90</v>
      </c>
      <c r="B1242" s="10" t="s">
        <v>36</v>
      </c>
      <c r="D1242" s="15" t="s">
        <v>2485</v>
      </c>
      <c r="E1242" s="13">
        <v>23</v>
      </c>
      <c r="F1242" s="13">
        <v>11</v>
      </c>
      <c r="G1242" s="13">
        <f t="shared" si="53"/>
        <v>304</v>
      </c>
      <c r="H1242" s="13">
        <v>91</v>
      </c>
      <c r="I1242" s="14">
        <f t="shared" si="54"/>
        <v>-90.104109589041101</v>
      </c>
      <c r="J1242" s="15" t="s">
        <v>2486</v>
      </c>
      <c r="AG1242" s="1">
        <v>1.5</v>
      </c>
      <c r="AH1242" s="9">
        <v>1.5</v>
      </c>
      <c r="AI1242" s="8">
        <f>1/AH1242</f>
        <v>0.66666666666666663</v>
      </c>
      <c r="AJ1242" s="8">
        <f>8.33*AI1242</f>
        <v>5.5533333333333328</v>
      </c>
    </row>
    <row r="1243" spans="1:36" x14ac:dyDescent="0.2">
      <c r="A1243">
        <v>-90</v>
      </c>
      <c r="B1243" s="10" t="s">
        <v>36</v>
      </c>
      <c r="C1243" s="11" t="s">
        <v>39</v>
      </c>
      <c r="D1243" s="15" t="s">
        <v>2485</v>
      </c>
      <c r="E1243" s="13">
        <v>23</v>
      </c>
      <c r="F1243" s="13">
        <v>11</v>
      </c>
      <c r="G1243" s="13">
        <f t="shared" si="53"/>
        <v>304</v>
      </c>
      <c r="H1243" s="13">
        <v>91</v>
      </c>
      <c r="I1243" s="14">
        <f t="shared" si="54"/>
        <v>-90.104109589041101</v>
      </c>
      <c r="J1243" s="15" t="s">
        <v>2487</v>
      </c>
    </row>
    <row r="1244" spans="1:36" x14ac:dyDescent="0.2">
      <c r="A1244">
        <v>-90</v>
      </c>
      <c r="B1244" s="10" t="s">
        <v>36</v>
      </c>
      <c r="C1244" s="11" t="s">
        <v>2488</v>
      </c>
      <c r="D1244" s="25" t="s">
        <v>2489</v>
      </c>
      <c r="E1244" s="13">
        <v>30</v>
      </c>
      <c r="F1244" s="13">
        <v>11</v>
      </c>
      <c r="G1244" s="13">
        <f t="shared" si="53"/>
        <v>304</v>
      </c>
      <c r="H1244" s="13">
        <v>91</v>
      </c>
      <c r="I1244" s="14">
        <f t="shared" si="54"/>
        <v>-90.084931506849315</v>
      </c>
      <c r="J1244" s="7" t="s">
        <v>2490</v>
      </c>
      <c r="P1244">
        <v>43</v>
      </c>
      <c r="Q1244" s="17">
        <v>43</v>
      </c>
      <c r="R1244" s="16">
        <f>1000/Q1244</f>
        <v>23.255813953488371</v>
      </c>
      <c r="S1244" s="16">
        <f>8.33*R1244</f>
        <v>193.72093023255812</v>
      </c>
      <c r="T1244" s="16">
        <f>S1244*1.33</f>
        <v>257.64883720930231</v>
      </c>
    </row>
    <row r="1245" spans="1:36" x14ac:dyDescent="0.2">
      <c r="A1245">
        <v>-90</v>
      </c>
      <c r="B1245" s="10" t="s">
        <v>36</v>
      </c>
      <c r="C1245" s="11" t="s">
        <v>2045</v>
      </c>
      <c r="D1245" s="7" t="s">
        <v>2487</v>
      </c>
      <c r="E1245" s="13">
        <v>2</v>
      </c>
      <c r="F1245" s="13">
        <v>12</v>
      </c>
      <c r="G1245" s="13">
        <f t="shared" si="53"/>
        <v>334</v>
      </c>
      <c r="H1245" s="13">
        <v>91</v>
      </c>
      <c r="I1245" s="14">
        <f t="shared" si="54"/>
        <v>-90.079452054794515</v>
      </c>
      <c r="J1245" s="7" t="s">
        <v>2491</v>
      </c>
      <c r="P1245">
        <v>42.5</v>
      </c>
      <c r="Q1245" s="17">
        <v>42.5</v>
      </c>
      <c r="R1245" s="16">
        <f>1000/Q1245</f>
        <v>23.529411764705884</v>
      </c>
      <c r="S1245" s="16">
        <f>8.33*R1245</f>
        <v>196.00000000000003</v>
      </c>
      <c r="T1245" s="16">
        <f>S1245*1.33</f>
        <v>260.68000000000006</v>
      </c>
    </row>
    <row r="1246" spans="1:36" x14ac:dyDescent="0.2">
      <c r="A1246">
        <v>-90</v>
      </c>
      <c r="B1246" s="10" t="s">
        <v>36</v>
      </c>
      <c r="C1246" s="11" t="s">
        <v>42</v>
      </c>
      <c r="D1246" s="15" t="s">
        <v>2492</v>
      </c>
      <c r="E1246" s="13">
        <v>2</v>
      </c>
      <c r="F1246" s="13">
        <v>12</v>
      </c>
      <c r="G1246" s="13">
        <f t="shared" si="53"/>
        <v>334</v>
      </c>
      <c r="H1246" s="13">
        <v>91</v>
      </c>
      <c r="I1246" s="14">
        <f t="shared" si="54"/>
        <v>-90.079452054794515</v>
      </c>
      <c r="J1246" s="26" t="s">
        <v>2493</v>
      </c>
    </row>
    <row r="1247" spans="1:36" x14ac:dyDescent="0.2">
      <c r="A1247">
        <v>-90</v>
      </c>
      <c r="B1247" s="10" t="s">
        <v>36</v>
      </c>
      <c r="C1247" s="11" t="s">
        <v>2494</v>
      </c>
      <c r="D1247" s="7" t="s">
        <v>2495</v>
      </c>
      <c r="E1247" s="13">
        <v>6</v>
      </c>
      <c r="F1247" s="13">
        <v>12</v>
      </c>
      <c r="G1247" s="13">
        <f t="shared" si="53"/>
        <v>334</v>
      </c>
      <c r="H1247" s="13">
        <v>91</v>
      </c>
      <c r="I1247" s="14">
        <f t="shared" si="54"/>
        <v>-90.06849315068493</v>
      </c>
      <c r="J1247" s="7" t="s">
        <v>2496</v>
      </c>
      <c r="P1247">
        <v>42</v>
      </c>
      <c r="Q1247" s="17">
        <v>42</v>
      </c>
      <c r="R1247" s="16">
        <f>1000/Q1247</f>
        <v>23.80952380952381</v>
      </c>
      <c r="S1247" s="16">
        <f>8.33*R1247</f>
        <v>198.33333333333334</v>
      </c>
      <c r="T1247" s="16">
        <f>S1247*1.33</f>
        <v>263.78333333333336</v>
      </c>
    </row>
    <row r="1248" spans="1:36" x14ac:dyDescent="0.2">
      <c r="A1248">
        <v>-90</v>
      </c>
      <c r="B1248" s="10" t="s">
        <v>36</v>
      </c>
      <c r="C1248" s="11">
        <v>16</v>
      </c>
      <c r="D1248" s="7" t="s">
        <v>2497</v>
      </c>
      <c r="E1248" s="13">
        <v>8</v>
      </c>
      <c r="F1248" s="13">
        <v>12</v>
      </c>
      <c r="G1248" s="13">
        <f t="shared" si="53"/>
        <v>334</v>
      </c>
      <c r="H1248" s="13">
        <v>91</v>
      </c>
      <c r="I1248" s="14">
        <f t="shared" si="54"/>
        <v>-90.063013698630144</v>
      </c>
      <c r="J1248" s="7"/>
      <c r="L1248" s="19"/>
      <c r="P1248" t="s">
        <v>2498</v>
      </c>
      <c r="Q1248" s="20">
        <v>41.5</v>
      </c>
      <c r="R1248" s="19">
        <f>1000/Q1248</f>
        <v>24.096385542168676</v>
      </c>
      <c r="S1248" s="19">
        <f>8.33*R1248</f>
        <v>200.72289156626508</v>
      </c>
      <c r="T1248" s="19">
        <f>S1248*1.33</f>
        <v>266.96144578313255</v>
      </c>
    </row>
    <row r="1249" spans="1:37" x14ac:dyDescent="0.2">
      <c r="A1249">
        <v>-90</v>
      </c>
      <c r="B1249" s="10" t="s">
        <v>36</v>
      </c>
      <c r="C1249" s="11" t="s">
        <v>2499</v>
      </c>
      <c r="D1249" s="7" t="s">
        <v>2500</v>
      </c>
      <c r="E1249" s="13">
        <v>9</v>
      </c>
      <c r="F1249" s="13">
        <v>12</v>
      </c>
      <c r="G1249" s="13">
        <f t="shared" si="53"/>
        <v>334</v>
      </c>
      <c r="H1249" s="13">
        <v>91</v>
      </c>
      <c r="I1249" s="14">
        <f t="shared" si="54"/>
        <v>-90.060273972602744</v>
      </c>
      <c r="J1249" s="7"/>
      <c r="P1249">
        <v>37.5</v>
      </c>
      <c r="Q1249" s="17">
        <v>37.5</v>
      </c>
      <c r="R1249" s="16">
        <f>1000/Q1249</f>
        <v>26.666666666666668</v>
      </c>
      <c r="S1249" s="16">
        <f>8.33*R1249</f>
        <v>222.13333333333335</v>
      </c>
      <c r="T1249" s="16">
        <f>S1249*1.33</f>
        <v>295.43733333333336</v>
      </c>
      <c r="AK1249" t="s">
        <v>2501</v>
      </c>
    </row>
    <row r="1250" spans="1:37" x14ac:dyDescent="0.2">
      <c r="A1250">
        <v>-90</v>
      </c>
      <c r="B1250" s="10" t="s">
        <v>36</v>
      </c>
      <c r="C1250" s="11" t="s">
        <v>2502</v>
      </c>
      <c r="D1250" s="7" t="s">
        <v>2500</v>
      </c>
      <c r="E1250" s="13">
        <v>9</v>
      </c>
      <c r="F1250" s="13">
        <v>12</v>
      </c>
      <c r="G1250" s="13">
        <f t="shared" si="53"/>
        <v>334</v>
      </c>
      <c r="H1250" s="13">
        <v>91</v>
      </c>
      <c r="I1250" s="14">
        <f t="shared" si="54"/>
        <v>-90.060273972602744</v>
      </c>
      <c r="J1250" s="7"/>
      <c r="P1250">
        <v>36</v>
      </c>
      <c r="Q1250" s="17">
        <v>36</v>
      </c>
      <c r="R1250" s="16">
        <f>1000/Q1250</f>
        <v>27.777777777777779</v>
      </c>
      <c r="S1250" s="16">
        <f>8.33*R1250</f>
        <v>231.38888888888889</v>
      </c>
      <c r="T1250" s="16">
        <f>S1250*1.33</f>
        <v>307.74722222222226</v>
      </c>
      <c r="AK1250" t="s">
        <v>2503</v>
      </c>
    </row>
    <row r="1251" spans="1:37" x14ac:dyDescent="0.2">
      <c r="A1251">
        <v>-90</v>
      </c>
      <c r="B1251" s="10" t="s">
        <v>36</v>
      </c>
      <c r="C1251" s="11" t="s">
        <v>2504</v>
      </c>
      <c r="D1251" s="25" t="s">
        <v>2500</v>
      </c>
      <c r="E1251" s="13">
        <v>9</v>
      </c>
      <c r="F1251" s="13">
        <v>12</v>
      </c>
      <c r="G1251" s="13">
        <f t="shared" si="53"/>
        <v>334</v>
      </c>
      <c r="H1251" s="13">
        <v>91</v>
      </c>
      <c r="I1251" s="14">
        <f t="shared" si="54"/>
        <v>-90.060273972602744</v>
      </c>
      <c r="J1251" s="7" t="s">
        <v>2505</v>
      </c>
      <c r="T1251" s="8"/>
      <c r="AC1251">
        <v>11.25</v>
      </c>
      <c r="AD1251" s="17">
        <v>11.25</v>
      </c>
      <c r="AE1251" s="16">
        <f>1000/AD1251</f>
        <v>88.888888888888886</v>
      </c>
      <c r="AF1251" s="16">
        <f>8.33*AE1251</f>
        <v>740.44444444444446</v>
      </c>
    </row>
    <row r="1252" spans="1:37" x14ac:dyDescent="0.2">
      <c r="A1252">
        <v>-90</v>
      </c>
      <c r="B1252" s="10" t="s">
        <v>36</v>
      </c>
      <c r="C1252" s="11" t="s">
        <v>2506</v>
      </c>
      <c r="D1252" s="7" t="s">
        <v>2507</v>
      </c>
      <c r="E1252" s="13">
        <v>11</v>
      </c>
      <c r="F1252" s="13">
        <v>12</v>
      </c>
      <c r="G1252" s="13">
        <f t="shared" si="53"/>
        <v>334</v>
      </c>
      <c r="H1252" s="13">
        <v>91</v>
      </c>
      <c r="I1252" s="14">
        <f t="shared" si="54"/>
        <v>-90.054794520547944</v>
      </c>
      <c r="J1252" s="7" t="s">
        <v>2508</v>
      </c>
      <c r="T1252" s="8"/>
      <c r="AC1252">
        <v>10</v>
      </c>
      <c r="AD1252" s="17">
        <v>10</v>
      </c>
      <c r="AE1252" s="16">
        <f>1000/AD1252</f>
        <v>100</v>
      </c>
      <c r="AF1252" s="16">
        <f>8.33*AE1252</f>
        <v>833</v>
      </c>
    </row>
    <row r="1253" spans="1:37" x14ac:dyDescent="0.2">
      <c r="A1253">
        <v>-90</v>
      </c>
      <c r="B1253" s="10" t="s">
        <v>36</v>
      </c>
      <c r="C1253" s="11" t="s">
        <v>45</v>
      </c>
      <c r="D1253" s="15" t="s">
        <v>2509</v>
      </c>
      <c r="E1253" s="13">
        <v>13</v>
      </c>
      <c r="F1253" s="13">
        <v>12</v>
      </c>
      <c r="G1253" s="13">
        <f t="shared" si="53"/>
        <v>334</v>
      </c>
      <c r="H1253" s="13">
        <v>91</v>
      </c>
      <c r="I1253" s="14">
        <f t="shared" si="54"/>
        <v>-90.049315068493144</v>
      </c>
      <c r="J1253" s="26" t="s">
        <v>2486</v>
      </c>
      <c r="T1253" s="8"/>
    </row>
    <row r="1254" spans="1:37" x14ac:dyDescent="0.2">
      <c r="A1254">
        <v>-90</v>
      </c>
      <c r="B1254" s="10" t="s">
        <v>36</v>
      </c>
      <c r="C1254" s="11" t="s">
        <v>1790</v>
      </c>
      <c r="D1254" s="7" t="s">
        <v>2508</v>
      </c>
      <c r="E1254" s="13">
        <v>18</v>
      </c>
      <c r="F1254" s="13">
        <v>12</v>
      </c>
      <c r="G1254" s="13">
        <f t="shared" si="53"/>
        <v>334</v>
      </c>
      <c r="H1254" s="13">
        <v>91</v>
      </c>
      <c r="I1254" s="14">
        <f t="shared" si="54"/>
        <v>-90.035616438356158</v>
      </c>
      <c r="J1254" s="7" t="s">
        <v>2486</v>
      </c>
      <c r="T1254" s="8"/>
      <c r="AC1254" t="s">
        <v>1717</v>
      </c>
    </row>
    <row r="1255" spans="1:37" x14ac:dyDescent="0.2">
      <c r="A1255">
        <v>-90</v>
      </c>
      <c r="B1255" s="10" t="s">
        <v>75</v>
      </c>
      <c r="D1255" s="15" t="s">
        <v>2510</v>
      </c>
      <c r="E1255" s="13">
        <v>22</v>
      </c>
      <c r="F1255" s="13">
        <v>12</v>
      </c>
      <c r="G1255" s="13">
        <f t="shared" si="53"/>
        <v>334</v>
      </c>
      <c r="H1255" s="13">
        <v>91</v>
      </c>
      <c r="I1255" s="14">
        <f t="shared" si="54"/>
        <v>-90.024657534246572</v>
      </c>
      <c r="J1255" s="26" t="s">
        <v>2511</v>
      </c>
      <c r="T1255" s="8"/>
      <c r="Y1255" s="1">
        <v>24</v>
      </c>
      <c r="Z1255" s="9">
        <v>24</v>
      </c>
      <c r="AA1255" s="8">
        <f>1000/Z1255</f>
        <v>41.666666666666664</v>
      </c>
      <c r="AB1255" s="8">
        <f>8.33*AA1255</f>
        <v>347.08333333333331</v>
      </c>
    </row>
    <row r="1256" spans="1:37" x14ac:dyDescent="0.2">
      <c r="A1256">
        <v>-90</v>
      </c>
      <c r="B1256" s="10" t="s">
        <v>75</v>
      </c>
      <c r="C1256" s="11" t="s">
        <v>39</v>
      </c>
      <c r="D1256" s="15" t="s">
        <v>2510</v>
      </c>
      <c r="E1256" s="13">
        <v>22</v>
      </c>
      <c r="F1256" s="13">
        <v>12</v>
      </c>
      <c r="G1256" s="13">
        <f t="shared" si="53"/>
        <v>334</v>
      </c>
      <c r="H1256" s="13">
        <v>91</v>
      </c>
      <c r="I1256" s="14">
        <f t="shared" si="54"/>
        <v>-90.024657534246572</v>
      </c>
      <c r="J1256" s="26" t="s">
        <v>2512</v>
      </c>
      <c r="T1256" s="8"/>
    </row>
    <row r="1257" spans="1:37" x14ac:dyDescent="0.2">
      <c r="A1257">
        <v>-90</v>
      </c>
      <c r="B1257" s="10" t="s">
        <v>75</v>
      </c>
      <c r="C1257" s="11" t="s">
        <v>2093</v>
      </c>
      <c r="D1257" s="7" t="s">
        <v>2510</v>
      </c>
      <c r="E1257" s="13">
        <v>22</v>
      </c>
      <c r="F1257" s="13">
        <v>12</v>
      </c>
      <c r="G1257" s="13">
        <f t="shared" si="53"/>
        <v>334</v>
      </c>
      <c r="H1257" s="13">
        <v>91</v>
      </c>
      <c r="I1257" s="14">
        <f t="shared" si="54"/>
        <v>-90.024657534246572</v>
      </c>
      <c r="J1257" s="7" t="s">
        <v>2513</v>
      </c>
      <c r="K1257" s="10">
        <v>54</v>
      </c>
      <c r="L1257" s="16">
        <v>54</v>
      </c>
      <c r="M1257" s="16">
        <f>1000/L1257</f>
        <v>18.518518518518519</v>
      </c>
      <c r="N1257" s="16">
        <f>8.33*M1257</f>
        <v>154.25925925925927</v>
      </c>
      <c r="O1257" s="16">
        <f>1.613*N1257</f>
        <v>248.82018518518518</v>
      </c>
      <c r="T1257" s="8"/>
    </row>
    <row r="1258" spans="1:37" x14ac:dyDescent="0.2">
      <c r="A1258">
        <v>-90</v>
      </c>
      <c r="B1258" s="10" t="s">
        <v>75</v>
      </c>
      <c r="C1258" s="11" t="s">
        <v>2514</v>
      </c>
      <c r="D1258" s="7" t="s">
        <v>2510</v>
      </c>
      <c r="E1258" s="13">
        <v>22</v>
      </c>
      <c r="F1258" s="13">
        <v>12</v>
      </c>
      <c r="G1258" s="13">
        <f t="shared" si="53"/>
        <v>334</v>
      </c>
      <c r="H1258" s="13">
        <v>91</v>
      </c>
      <c r="I1258" s="14">
        <f t="shared" si="54"/>
        <v>-90.024657534246572</v>
      </c>
      <c r="J1258" s="7" t="s">
        <v>2515</v>
      </c>
      <c r="T1258" s="8"/>
      <c r="AC1258">
        <v>9</v>
      </c>
      <c r="AD1258" s="17">
        <v>9</v>
      </c>
      <c r="AE1258" s="16">
        <f>1000/AD1258</f>
        <v>111.11111111111111</v>
      </c>
      <c r="AF1258" s="16">
        <f>8.33*AE1258</f>
        <v>925.55555555555554</v>
      </c>
    </row>
    <row r="1259" spans="1:37" x14ac:dyDescent="0.2">
      <c r="A1259">
        <v>-90</v>
      </c>
      <c r="B1259" s="10" t="s">
        <v>75</v>
      </c>
      <c r="C1259" s="11" t="s">
        <v>2516</v>
      </c>
      <c r="D1259" s="7" t="s">
        <v>2517</v>
      </c>
      <c r="E1259" s="13">
        <v>26</v>
      </c>
      <c r="F1259" s="13">
        <v>12</v>
      </c>
      <c r="G1259" s="13">
        <f t="shared" si="53"/>
        <v>334</v>
      </c>
      <c r="H1259" s="13">
        <v>91</v>
      </c>
      <c r="I1259" s="14">
        <f t="shared" si="54"/>
        <v>-90.013698630136986</v>
      </c>
      <c r="J1259" s="7" t="s">
        <v>2518</v>
      </c>
      <c r="K1259" s="10" t="s">
        <v>2519</v>
      </c>
      <c r="L1259" s="19">
        <v>52</v>
      </c>
      <c r="M1259" s="19">
        <f>1000/L1259</f>
        <v>19.23076923076923</v>
      </c>
      <c r="N1259" s="19">
        <f>8.33*M1259</f>
        <v>160.19230769230768</v>
      </c>
      <c r="O1259" s="19">
        <f>1.613*N1259</f>
        <v>258.3901923076923</v>
      </c>
      <c r="T1259" s="8"/>
    </row>
    <row r="1260" spans="1:37" x14ac:dyDescent="0.2">
      <c r="A1260">
        <v>-90</v>
      </c>
      <c r="B1260" s="10" t="s">
        <v>75</v>
      </c>
      <c r="C1260" s="11" t="s">
        <v>1868</v>
      </c>
      <c r="D1260" s="7" t="s">
        <v>2518</v>
      </c>
      <c r="E1260" s="13">
        <v>29</v>
      </c>
      <c r="F1260" s="13">
        <v>12</v>
      </c>
      <c r="G1260" s="13">
        <f t="shared" si="53"/>
        <v>334</v>
      </c>
      <c r="H1260" s="13">
        <v>91</v>
      </c>
      <c r="I1260" s="14">
        <f t="shared" si="54"/>
        <v>-90.0054794520548</v>
      </c>
      <c r="J1260" s="7" t="s">
        <v>2512</v>
      </c>
      <c r="T1260" s="8"/>
      <c r="AC1260">
        <v>10</v>
      </c>
      <c r="AD1260" s="17">
        <v>10</v>
      </c>
      <c r="AE1260" s="16">
        <f>1000/AD1260</f>
        <v>100</v>
      </c>
      <c r="AF1260" s="16">
        <f>8.33*AE1260</f>
        <v>833</v>
      </c>
    </row>
    <row r="1261" spans="1:37" x14ac:dyDescent="0.2">
      <c r="A1261">
        <v>-90</v>
      </c>
      <c r="B1261" s="10" t="s">
        <v>75</v>
      </c>
      <c r="C1261" s="11" t="s">
        <v>2520</v>
      </c>
      <c r="D1261" s="7" t="s">
        <v>2521</v>
      </c>
      <c r="E1261" s="13">
        <v>30</v>
      </c>
      <c r="F1261" s="13">
        <v>12</v>
      </c>
      <c r="G1261" s="13">
        <f t="shared" si="53"/>
        <v>334</v>
      </c>
      <c r="H1261" s="13">
        <v>91</v>
      </c>
      <c r="I1261" s="14">
        <f t="shared" si="54"/>
        <v>-90.0027397260274</v>
      </c>
      <c r="J1261" s="25" t="s">
        <v>2512</v>
      </c>
      <c r="K1261" s="10">
        <v>50</v>
      </c>
      <c r="L1261" s="16">
        <v>50</v>
      </c>
      <c r="M1261" s="16">
        <f>1000/L1261</f>
        <v>20</v>
      </c>
      <c r="N1261" s="16">
        <f>8.33*M1261</f>
        <v>166.6</v>
      </c>
      <c r="O1261" s="16">
        <f>1.613*N1261</f>
        <v>268.72579999999999</v>
      </c>
      <c r="T1261" s="8"/>
    </row>
    <row r="1262" spans="1:37" x14ac:dyDescent="0.2">
      <c r="A1262">
        <v>-90</v>
      </c>
      <c r="B1262" s="10" t="s">
        <v>75</v>
      </c>
      <c r="C1262" s="11" t="s">
        <v>2324</v>
      </c>
      <c r="D1262" s="7" t="s">
        <v>2512</v>
      </c>
      <c r="E1262" s="13">
        <v>31</v>
      </c>
      <c r="F1262" s="13">
        <v>12</v>
      </c>
      <c r="G1262" s="13">
        <f t="shared" si="53"/>
        <v>334</v>
      </c>
      <c r="H1262" s="13">
        <v>91</v>
      </c>
      <c r="I1262" s="14">
        <f t="shared" si="54"/>
        <v>-90</v>
      </c>
      <c r="J1262" s="7" t="s">
        <v>2511</v>
      </c>
      <c r="T1262" s="8"/>
      <c r="AC1262">
        <v>10.5</v>
      </c>
      <c r="AD1262" s="17">
        <v>10.5</v>
      </c>
      <c r="AE1262" s="16">
        <f>1000/AD1262</f>
        <v>95.238095238095241</v>
      </c>
      <c r="AF1262" s="16">
        <f>8.33*AE1262</f>
        <v>793.33333333333337</v>
      </c>
    </row>
    <row r="1263" spans="1:37" x14ac:dyDescent="0.2">
      <c r="A1263">
        <v>-90</v>
      </c>
      <c r="B1263" s="10" t="s">
        <v>75</v>
      </c>
      <c r="C1263" s="11" t="s">
        <v>42</v>
      </c>
      <c r="D1263" s="26" t="s">
        <v>2522</v>
      </c>
      <c r="E1263" s="13">
        <v>1</v>
      </c>
      <c r="F1263" s="13">
        <v>1</v>
      </c>
      <c r="G1263" s="13">
        <f t="shared" si="53"/>
        <v>0</v>
      </c>
      <c r="H1263" s="13">
        <v>90</v>
      </c>
      <c r="I1263" s="14">
        <f t="shared" si="54"/>
        <v>-89.9972602739726</v>
      </c>
      <c r="J1263" s="26" t="s">
        <v>2523</v>
      </c>
      <c r="T1263" s="8"/>
    </row>
    <row r="1264" spans="1:37" x14ac:dyDescent="0.2">
      <c r="A1264">
        <v>-90</v>
      </c>
      <c r="B1264" s="10" t="s">
        <v>75</v>
      </c>
      <c r="C1264" s="11" t="s">
        <v>2524</v>
      </c>
      <c r="D1264" s="25" t="s">
        <v>2522</v>
      </c>
      <c r="E1264" s="13">
        <v>1</v>
      </c>
      <c r="F1264" s="13">
        <v>1</v>
      </c>
      <c r="G1264" s="13">
        <f t="shared" si="53"/>
        <v>0</v>
      </c>
      <c r="H1264" s="13">
        <v>90</v>
      </c>
      <c r="I1264" s="14">
        <f t="shared" si="54"/>
        <v>-89.9972602739726</v>
      </c>
      <c r="J1264" s="7" t="s">
        <v>2525</v>
      </c>
      <c r="K1264" s="10">
        <v>52.5</v>
      </c>
      <c r="L1264" s="16">
        <v>52.5</v>
      </c>
      <c r="M1264" s="16">
        <f>1000/L1264</f>
        <v>19.047619047619047</v>
      </c>
      <c r="N1264" s="16">
        <f>8.33*M1264</f>
        <v>158.66666666666666</v>
      </c>
      <c r="O1264" s="16">
        <f>1.613*N1264</f>
        <v>255.92933333333332</v>
      </c>
      <c r="T1264" s="8"/>
      <c r="U1264" s="18"/>
    </row>
    <row r="1265" spans="1:36" x14ac:dyDescent="0.2">
      <c r="A1265">
        <v>-90</v>
      </c>
      <c r="B1265" s="10" t="s">
        <v>75</v>
      </c>
      <c r="C1265" s="11" t="s">
        <v>2526</v>
      </c>
      <c r="D1265" s="7" t="s">
        <v>2527</v>
      </c>
      <c r="E1265" s="13">
        <v>7</v>
      </c>
      <c r="F1265" s="13">
        <v>1</v>
      </c>
      <c r="G1265" s="13">
        <f t="shared" si="53"/>
        <v>0</v>
      </c>
      <c r="H1265" s="13">
        <v>90</v>
      </c>
      <c r="I1265" s="14">
        <f t="shared" si="54"/>
        <v>-89.980821917808214</v>
      </c>
      <c r="J1265" s="7" t="s">
        <v>2523</v>
      </c>
      <c r="K1265" s="10">
        <v>54</v>
      </c>
      <c r="L1265" s="16">
        <v>54</v>
      </c>
      <c r="M1265" s="16">
        <f>1000/L1265</f>
        <v>18.518518518518519</v>
      </c>
      <c r="N1265" s="16">
        <f>8.33*M1265</f>
        <v>154.25925925925927</v>
      </c>
      <c r="O1265" s="16">
        <f>1.613*N1265</f>
        <v>248.82018518518518</v>
      </c>
      <c r="T1265" s="8"/>
    </row>
    <row r="1266" spans="1:36" x14ac:dyDescent="0.2">
      <c r="A1266">
        <v>-90</v>
      </c>
      <c r="B1266" s="10" t="s">
        <v>75</v>
      </c>
      <c r="C1266" s="11" t="s">
        <v>1682</v>
      </c>
      <c r="D1266" s="7" t="s">
        <v>2528</v>
      </c>
      <c r="E1266" s="13">
        <v>11</v>
      </c>
      <c r="F1266" s="13">
        <v>1</v>
      </c>
      <c r="G1266" s="13">
        <f t="shared" si="53"/>
        <v>0</v>
      </c>
      <c r="H1266" s="13">
        <v>90</v>
      </c>
      <c r="I1266" s="14">
        <f t="shared" si="54"/>
        <v>-89.969863013698628</v>
      </c>
      <c r="J1266" s="7" t="s">
        <v>2511</v>
      </c>
      <c r="K1266" s="10">
        <v>60</v>
      </c>
      <c r="L1266" s="16">
        <v>60</v>
      </c>
      <c r="M1266" s="16">
        <f>1000/L1266</f>
        <v>16.666666666666668</v>
      </c>
      <c r="N1266" s="16">
        <f>8.33*M1266</f>
        <v>138.83333333333334</v>
      </c>
      <c r="O1266" s="16">
        <f>1.613*N1266</f>
        <v>223.93816666666669</v>
      </c>
      <c r="T1266" s="8"/>
    </row>
    <row r="1267" spans="1:36" x14ac:dyDescent="0.2">
      <c r="A1267">
        <v>-90</v>
      </c>
      <c r="B1267" s="10" t="s">
        <v>75</v>
      </c>
      <c r="C1267" s="11" t="s">
        <v>45</v>
      </c>
      <c r="D1267" s="15" t="s">
        <v>2528</v>
      </c>
      <c r="E1267" s="13">
        <v>11</v>
      </c>
      <c r="F1267" s="13">
        <v>1</v>
      </c>
      <c r="G1267" s="13">
        <f t="shared" si="53"/>
        <v>0</v>
      </c>
      <c r="H1267" s="13">
        <v>90</v>
      </c>
      <c r="I1267" s="14">
        <f t="shared" si="54"/>
        <v>-89.969863013698628</v>
      </c>
      <c r="J1267" s="26" t="s">
        <v>2511</v>
      </c>
      <c r="T1267" s="8"/>
    </row>
    <row r="1268" spans="1:36" x14ac:dyDescent="0.2">
      <c r="A1268">
        <v>-90</v>
      </c>
      <c r="B1268" s="10" t="s">
        <v>83</v>
      </c>
      <c r="D1268" s="15" t="s">
        <v>2529</v>
      </c>
      <c r="E1268" s="13">
        <v>21</v>
      </c>
      <c r="F1268" s="13">
        <v>1</v>
      </c>
      <c r="G1268" s="13">
        <f t="shared" si="53"/>
        <v>0</v>
      </c>
      <c r="H1268" s="13">
        <v>90</v>
      </c>
      <c r="I1268" s="14">
        <f t="shared" si="54"/>
        <v>-89.942465753424656</v>
      </c>
      <c r="J1268" s="26" t="s">
        <v>2530</v>
      </c>
      <c r="T1268" s="8"/>
      <c r="U1268" s="1">
        <v>360</v>
      </c>
      <c r="V1268" s="9">
        <v>360</v>
      </c>
      <c r="W1268" s="8">
        <f>1000/V1268</f>
        <v>2.7777777777777777</v>
      </c>
      <c r="X1268" s="8">
        <f>8.33*W1268</f>
        <v>23.138888888888889</v>
      </c>
    </row>
    <row r="1269" spans="1:36" x14ac:dyDescent="0.2">
      <c r="A1269">
        <v>-90</v>
      </c>
      <c r="B1269" s="10" t="s">
        <v>83</v>
      </c>
      <c r="C1269" s="11" t="s">
        <v>39</v>
      </c>
      <c r="D1269" s="15" t="s">
        <v>2529</v>
      </c>
      <c r="E1269" s="13">
        <v>21</v>
      </c>
      <c r="F1269" s="13">
        <v>1</v>
      </c>
      <c r="G1269" s="13">
        <f t="shared" si="53"/>
        <v>0</v>
      </c>
      <c r="H1269" s="13">
        <v>90</v>
      </c>
      <c r="I1269" s="14">
        <f t="shared" si="54"/>
        <v>-89.942465753424656</v>
      </c>
      <c r="J1269" s="26" t="s">
        <v>2531</v>
      </c>
      <c r="T1269" s="8"/>
    </row>
    <row r="1270" spans="1:36" x14ac:dyDescent="0.2">
      <c r="A1270">
        <v>-90</v>
      </c>
      <c r="B1270" s="10" t="s">
        <v>83</v>
      </c>
      <c r="C1270" s="11" t="s">
        <v>2072</v>
      </c>
      <c r="D1270" s="7" t="s">
        <v>2529</v>
      </c>
      <c r="E1270" s="13">
        <v>21</v>
      </c>
      <c r="F1270" s="13">
        <v>1</v>
      </c>
      <c r="G1270" s="13">
        <f t="shared" si="53"/>
        <v>0</v>
      </c>
      <c r="H1270" s="13">
        <v>90</v>
      </c>
      <c r="I1270" s="14">
        <f t="shared" si="54"/>
        <v>-89.942465753424656</v>
      </c>
      <c r="J1270" s="7" t="s">
        <v>2532</v>
      </c>
      <c r="P1270">
        <v>42</v>
      </c>
      <c r="Q1270" s="17">
        <v>42</v>
      </c>
      <c r="R1270" s="16">
        <f>1000/Q1270</f>
        <v>23.80952380952381</v>
      </c>
      <c r="S1270" s="16">
        <f>8.33*R1270</f>
        <v>198.33333333333334</v>
      </c>
      <c r="T1270" s="16">
        <f>S1270*1.33</f>
        <v>263.78333333333336</v>
      </c>
    </row>
    <row r="1271" spans="1:36" x14ac:dyDescent="0.2">
      <c r="A1271">
        <v>-90</v>
      </c>
      <c r="B1271" s="10" t="s">
        <v>83</v>
      </c>
      <c r="C1271" s="11" t="s">
        <v>2533</v>
      </c>
      <c r="D1271" s="7" t="s">
        <v>2532</v>
      </c>
      <c r="E1271" s="13">
        <v>26</v>
      </c>
      <c r="F1271" s="13">
        <v>1</v>
      </c>
      <c r="G1271" s="13">
        <f t="shared" si="53"/>
        <v>0</v>
      </c>
      <c r="H1271" s="13">
        <v>90</v>
      </c>
      <c r="I1271" s="14">
        <f t="shared" si="54"/>
        <v>-89.92876712328767</v>
      </c>
      <c r="J1271" s="7" t="s">
        <v>2534</v>
      </c>
      <c r="P1271">
        <v>40</v>
      </c>
      <c r="Q1271" s="17">
        <v>40</v>
      </c>
      <c r="R1271" s="16">
        <f>1000/Q1271</f>
        <v>25</v>
      </c>
      <c r="S1271" s="16">
        <f>8.33*R1271</f>
        <v>208.25</v>
      </c>
      <c r="T1271" s="16">
        <f>S1271*1.33</f>
        <v>276.97250000000003</v>
      </c>
    </row>
    <row r="1272" spans="1:36" x14ac:dyDescent="0.2">
      <c r="A1272">
        <v>-90</v>
      </c>
      <c r="B1272" s="10" t="s">
        <v>83</v>
      </c>
      <c r="C1272" s="11" t="s">
        <v>42</v>
      </c>
      <c r="D1272" s="15" t="s">
        <v>2535</v>
      </c>
      <c r="E1272" s="13">
        <v>31</v>
      </c>
      <c r="F1272" s="13">
        <v>1</v>
      </c>
      <c r="G1272" s="13">
        <f t="shared" si="53"/>
        <v>0</v>
      </c>
      <c r="H1272" s="13">
        <v>90</v>
      </c>
      <c r="I1272" s="14">
        <f t="shared" si="54"/>
        <v>-89.915068493150685</v>
      </c>
      <c r="J1272" s="26" t="s">
        <v>2536</v>
      </c>
    </row>
    <row r="1273" spans="1:36" x14ac:dyDescent="0.2">
      <c r="A1273">
        <v>-90</v>
      </c>
      <c r="B1273" s="10" t="s">
        <v>83</v>
      </c>
      <c r="C1273" s="11" t="s">
        <v>2346</v>
      </c>
      <c r="D1273" s="7" t="s">
        <v>2534</v>
      </c>
      <c r="E1273" s="13">
        <v>1</v>
      </c>
      <c r="F1273" s="13">
        <v>2</v>
      </c>
      <c r="G1273" s="13">
        <f t="shared" si="53"/>
        <v>31</v>
      </c>
      <c r="H1273" s="13">
        <v>90</v>
      </c>
      <c r="I1273" s="14">
        <f t="shared" si="54"/>
        <v>-89.912328767123284</v>
      </c>
      <c r="J1273" s="7" t="s">
        <v>2530</v>
      </c>
      <c r="P1273" t="s">
        <v>41</v>
      </c>
    </row>
    <row r="1274" spans="1:36" x14ac:dyDescent="0.2">
      <c r="A1274">
        <v>-90</v>
      </c>
      <c r="B1274" s="10" t="s">
        <v>83</v>
      </c>
      <c r="C1274" s="11" t="s">
        <v>45</v>
      </c>
      <c r="D1274" s="15" t="s">
        <v>2537</v>
      </c>
      <c r="E1274" s="13">
        <v>10</v>
      </c>
      <c r="F1274" s="13">
        <v>2</v>
      </c>
      <c r="G1274" s="13">
        <f t="shared" si="53"/>
        <v>31</v>
      </c>
      <c r="H1274" s="13">
        <v>90</v>
      </c>
      <c r="I1274" s="14">
        <f t="shared" si="54"/>
        <v>-89.887671232876713</v>
      </c>
      <c r="J1274" s="26" t="s">
        <v>2530</v>
      </c>
    </row>
    <row r="1275" spans="1:36" x14ac:dyDescent="0.2">
      <c r="A1275">
        <v>-90</v>
      </c>
      <c r="B1275" s="10" t="s">
        <v>83</v>
      </c>
      <c r="C1275" s="11" t="s">
        <v>1571</v>
      </c>
      <c r="D1275" s="7" t="s">
        <v>2538</v>
      </c>
      <c r="E1275" s="13">
        <v>17</v>
      </c>
      <c r="F1275" s="13">
        <v>2</v>
      </c>
      <c r="G1275" s="13">
        <f t="shared" si="53"/>
        <v>31</v>
      </c>
      <c r="H1275" s="13">
        <v>90</v>
      </c>
      <c r="I1275" s="14">
        <f t="shared" si="54"/>
        <v>-89.868493150684927</v>
      </c>
      <c r="J1275" s="7" t="s">
        <v>2530</v>
      </c>
      <c r="K1275" s="10">
        <v>65</v>
      </c>
      <c r="L1275" s="16">
        <v>65</v>
      </c>
      <c r="M1275" s="16">
        <f>1000/L1275</f>
        <v>15.384615384615385</v>
      </c>
      <c r="N1275" s="16">
        <f>8.33*M1275</f>
        <v>128.15384615384616</v>
      </c>
      <c r="O1275" s="16">
        <f>1.613*N1275</f>
        <v>206.71215384615385</v>
      </c>
    </row>
    <row r="1276" spans="1:36" x14ac:dyDescent="0.2">
      <c r="A1276">
        <v>-88</v>
      </c>
      <c r="B1276" s="10" t="s">
        <v>36</v>
      </c>
      <c r="D1276" s="15" t="s">
        <v>2539</v>
      </c>
      <c r="E1276" s="13">
        <v>29</v>
      </c>
      <c r="F1276" s="13">
        <v>11</v>
      </c>
      <c r="G1276" s="13">
        <f t="shared" si="53"/>
        <v>304</v>
      </c>
      <c r="H1276" s="13">
        <v>89</v>
      </c>
      <c r="I1276" s="14">
        <f t="shared" si="54"/>
        <v>-88.087671232876716</v>
      </c>
      <c r="J1276" s="26" t="s">
        <v>2540</v>
      </c>
      <c r="AC1276" s="1">
        <v>7.5</v>
      </c>
      <c r="AD1276" s="9">
        <v>7.5</v>
      </c>
      <c r="AE1276" s="8">
        <f>1000/AD1276</f>
        <v>133.33333333333334</v>
      </c>
      <c r="AF1276" s="8">
        <f>8.33*AE1276</f>
        <v>1110.6666666666667</v>
      </c>
      <c r="AG1276" t="s">
        <v>41</v>
      </c>
      <c r="AH1276" s="17" t="s">
        <v>41</v>
      </c>
    </row>
    <row r="1277" spans="1:36" x14ac:dyDescent="0.2">
      <c r="A1277">
        <v>-88</v>
      </c>
      <c r="B1277" s="10" t="s">
        <v>75</v>
      </c>
      <c r="D1277" s="15" t="s">
        <v>2541</v>
      </c>
      <c r="E1277" s="13">
        <v>29</v>
      </c>
      <c r="F1277" s="13">
        <v>12</v>
      </c>
      <c r="G1277" s="13">
        <f t="shared" si="53"/>
        <v>334</v>
      </c>
      <c r="H1277" s="13">
        <v>89</v>
      </c>
      <c r="I1277" s="14">
        <f t="shared" si="54"/>
        <v>-88.0054794520548</v>
      </c>
      <c r="J1277" s="26" t="s">
        <v>2542</v>
      </c>
      <c r="K1277" s="10">
        <v>22.5</v>
      </c>
      <c r="L1277" s="16">
        <v>22.5</v>
      </c>
      <c r="M1277" s="16">
        <f>1000/L1277</f>
        <v>44.444444444444443</v>
      </c>
      <c r="N1277" s="16">
        <f>8.33*M1277</f>
        <v>370.22222222222223</v>
      </c>
      <c r="O1277" s="16">
        <f>1.613*N1277</f>
        <v>597.1684444444445</v>
      </c>
      <c r="U1277" s="1">
        <v>216</v>
      </c>
      <c r="V1277" s="9">
        <v>216</v>
      </c>
      <c r="W1277" s="8">
        <f>1000/V1277</f>
        <v>4.6296296296296298</v>
      </c>
      <c r="X1277" s="8">
        <f>8.33*W1277</f>
        <v>38.564814814814817</v>
      </c>
    </row>
    <row r="1278" spans="1:36" x14ac:dyDescent="0.2">
      <c r="A1278">
        <v>-87</v>
      </c>
      <c r="B1278" s="10" t="s">
        <v>60</v>
      </c>
      <c r="D1278" s="15" t="s">
        <v>2543</v>
      </c>
      <c r="E1278" s="13">
        <v>28</v>
      </c>
      <c r="F1278" s="13">
        <v>3</v>
      </c>
      <c r="G1278" s="13">
        <f t="shared" si="53"/>
        <v>59</v>
      </c>
      <c r="H1278" s="13">
        <v>88</v>
      </c>
      <c r="I1278" s="14">
        <f t="shared" si="54"/>
        <v>-87.761643835616439</v>
      </c>
      <c r="J1278" s="26" t="s">
        <v>2544</v>
      </c>
      <c r="U1278" s="1"/>
      <c r="V1278" s="9"/>
      <c r="AG1278" s="1">
        <v>1</v>
      </c>
      <c r="AH1278" s="9">
        <v>1</v>
      </c>
      <c r="AI1278" s="8">
        <f>1/AH1278</f>
        <v>1</v>
      </c>
      <c r="AJ1278" s="8">
        <f>8.33*AI1278</f>
        <v>8.33</v>
      </c>
    </row>
    <row r="1279" spans="1:36" x14ac:dyDescent="0.2">
      <c r="A1279">
        <v>-87</v>
      </c>
      <c r="B1279" s="10" t="s">
        <v>60</v>
      </c>
      <c r="C1279" s="11" t="s">
        <v>39</v>
      </c>
      <c r="D1279" s="15" t="s">
        <v>2543</v>
      </c>
      <c r="E1279" s="13">
        <v>28</v>
      </c>
      <c r="F1279" s="13">
        <v>3</v>
      </c>
      <c r="G1279" s="13">
        <f t="shared" si="53"/>
        <v>59</v>
      </c>
      <c r="H1279" s="13">
        <v>88</v>
      </c>
      <c r="I1279" s="14">
        <f t="shared" si="54"/>
        <v>-87.761643835616439</v>
      </c>
      <c r="J1279" s="26" t="s">
        <v>2545</v>
      </c>
      <c r="U1279" s="1"/>
      <c r="V1279" s="9"/>
    </row>
    <row r="1280" spans="1:36" x14ac:dyDescent="0.2">
      <c r="A1280">
        <v>-87</v>
      </c>
      <c r="B1280" s="10" t="s">
        <v>60</v>
      </c>
      <c r="C1280" s="11" t="s">
        <v>2341</v>
      </c>
      <c r="D1280" s="7" t="s">
        <v>2543</v>
      </c>
      <c r="E1280" s="13">
        <v>28</v>
      </c>
      <c r="F1280" s="13">
        <v>3</v>
      </c>
      <c r="G1280" s="13">
        <f t="shared" si="53"/>
        <v>59</v>
      </c>
      <c r="H1280" s="13">
        <v>88</v>
      </c>
      <c r="I1280" s="14">
        <f t="shared" si="54"/>
        <v>-87.761643835616439</v>
      </c>
      <c r="J1280" s="7" t="s">
        <v>2546</v>
      </c>
      <c r="K1280" s="10">
        <v>24</v>
      </c>
      <c r="L1280" s="16">
        <v>24</v>
      </c>
      <c r="M1280" s="16">
        <f>1000/L1280</f>
        <v>41.666666666666664</v>
      </c>
      <c r="N1280" s="16">
        <f>8.33*M1280</f>
        <v>347.08333333333331</v>
      </c>
      <c r="O1280" s="16">
        <f>1.613*N1280</f>
        <v>559.84541666666667</v>
      </c>
    </row>
    <row r="1281" spans="1:36" x14ac:dyDescent="0.2">
      <c r="A1281">
        <v>-87</v>
      </c>
      <c r="B1281" s="10" t="s">
        <v>60</v>
      </c>
      <c r="C1281" s="11" t="s">
        <v>2547</v>
      </c>
      <c r="D1281" s="25" t="s">
        <v>2543</v>
      </c>
      <c r="E1281" s="13">
        <v>28</v>
      </c>
      <c r="F1281" s="13">
        <v>3</v>
      </c>
      <c r="G1281" s="13">
        <f t="shared" si="53"/>
        <v>59</v>
      </c>
      <c r="H1281" s="13">
        <v>88</v>
      </c>
      <c r="I1281" s="14">
        <f t="shared" si="54"/>
        <v>-87.761643835616439</v>
      </c>
      <c r="J1281" s="7" t="s">
        <v>2548</v>
      </c>
      <c r="P1281">
        <v>51.5</v>
      </c>
      <c r="Q1281" s="17">
        <v>51.5</v>
      </c>
      <c r="R1281" s="16">
        <f>1000/Q1281</f>
        <v>19.417475728155338</v>
      </c>
      <c r="S1281" s="16">
        <f>8.33*R1281</f>
        <v>161.74757281553397</v>
      </c>
      <c r="T1281" s="16">
        <f>S1281*1.33</f>
        <v>215.1242718446602</v>
      </c>
    </row>
    <row r="1282" spans="1:36" x14ac:dyDescent="0.2">
      <c r="A1282">
        <v>-87</v>
      </c>
      <c r="B1282" s="10" t="s">
        <v>60</v>
      </c>
      <c r="C1282" s="11" t="s">
        <v>42</v>
      </c>
      <c r="D1282" s="15" t="s">
        <v>2549</v>
      </c>
      <c r="E1282" s="13">
        <v>7</v>
      </c>
      <c r="F1282" s="13">
        <v>4</v>
      </c>
      <c r="G1282" s="13">
        <f t="shared" ref="G1282:G1345" si="55">INDEX(A$1502:A$1513,F1282)</f>
        <v>90</v>
      </c>
      <c r="H1282" s="13">
        <v>88</v>
      </c>
      <c r="I1282" s="14">
        <f t="shared" si="54"/>
        <v>-87.734246575342468</v>
      </c>
      <c r="J1282" s="26" t="s">
        <v>2550</v>
      </c>
    </row>
    <row r="1283" spans="1:36" x14ac:dyDescent="0.2">
      <c r="A1283">
        <v>-87</v>
      </c>
      <c r="B1283" s="10" t="s">
        <v>60</v>
      </c>
      <c r="C1283" s="11" t="s">
        <v>45</v>
      </c>
      <c r="D1283" s="15" t="s">
        <v>2551</v>
      </c>
      <c r="E1283" s="13">
        <v>17</v>
      </c>
      <c r="F1283" s="13">
        <v>4</v>
      </c>
      <c r="G1283" s="13">
        <f t="shared" si="55"/>
        <v>90</v>
      </c>
      <c r="H1283" s="13">
        <v>88</v>
      </c>
      <c r="I1283" s="14">
        <f t="shared" ref="I1283:I1346" si="56">($E1283+$G1283)/365-$H1283</f>
        <v>-87.706849315068496</v>
      </c>
      <c r="J1283" s="26" t="s">
        <v>2544</v>
      </c>
    </row>
    <row r="1284" spans="1:36" x14ac:dyDescent="0.2">
      <c r="A1284">
        <v>-87</v>
      </c>
      <c r="B1284" s="10" t="s">
        <v>72</v>
      </c>
      <c r="C1284" s="11" t="s">
        <v>39</v>
      </c>
      <c r="D1284" s="15" t="s">
        <v>2552</v>
      </c>
      <c r="E1284" s="13">
        <v>22</v>
      </c>
      <c r="F1284" s="13">
        <v>8</v>
      </c>
      <c r="G1284" s="13">
        <f t="shared" si="55"/>
        <v>212</v>
      </c>
      <c r="H1284" s="13">
        <v>88</v>
      </c>
      <c r="I1284" s="14">
        <f t="shared" si="56"/>
        <v>-87.358904109589048</v>
      </c>
      <c r="J1284" s="7"/>
    </row>
    <row r="1285" spans="1:36" x14ac:dyDescent="0.2">
      <c r="A1285">
        <v>-87</v>
      </c>
      <c r="B1285" s="10" t="s">
        <v>72</v>
      </c>
      <c r="C1285" s="11" t="s">
        <v>2093</v>
      </c>
      <c r="D1285" s="7" t="s">
        <v>2552</v>
      </c>
      <c r="E1285" s="13">
        <v>22</v>
      </c>
      <c r="F1285" s="13">
        <v>8</v>
      </c>
      <c r="G1285" s="13">
        <f t="shared" si="55"/>
        <v>212</v>
      </c>
      <c r="H1285" s="13">
        <v>88</v>
      </c>
      <c r="I1285" s="14">
        <f t="shared" si="56"/>
        <v>-87.358904109589048</v>
      </c>
      <c r="J1285" s="7" t="s">
        <v>2553</v>
      </c>
      <c r="P1285">
        <v>49.5</v>
      </c>
      <c r="Q1285" s="17">
        <v>49.5</v>
      </c>
      <c r="R1285" s="16">
        <f>1000/Q1285</f>
        <v>20.202020202020201</v>
      </c>
      <c r="S1285" s="16">
        <f>8.33*R1285</f>
        <v>168.28282828282826</v>
      </c>
      <c r="T1285" s="16">
        <f>S1285*1.33</f>
        <v>223.81616161616159</v>
      </c>
    </row>
    <row r="1286" spans="1:36" x14ac:dyDescent="0.2">
      <c r="A1286">
        <v>-87</v>
      </c>
      <c r="B1286" s="10" t="s">
        <v>72</v>
      </c>
      <c r="C1286" s="11" t="s">
        <v>2516</v>
      </c>
      <c r="D1286" s="7" t="s">
        <v>2554</v>
      </c>
      <c r="E1286" s="13">
        <v>26</v>
      </c>
      <c r="F1286" s="13">
        <v>8</v>
      </c>
      <c r="G1286" s="13">
        <f t="shared" si="55"/>
        <v>212</v>
      </c>
      <c r="H1286" s="13">
        <v>88</v>
      </c>
      <c r="I1286" s="14">
        <f t="shared" si="56"/>
        <v>-87.347945205479448</v>
      </c>
      <c r="J1286" s="7" t="s">
        <v>2555</v>
      </c>
      <c r="P1286">
        <v>48</v>
      </c>
      <c r="Q1286" s="17">
        <v>48</v>
      </c>
      <c r="R1286" s="16">
        <f>1000/Q1286</f>
        <v>20.833333333333332</v>
      </c>
      <c r="S1286" s="16">
        <f>8.33*R1286</f>
        <v>173.54166666666666</v>
      </c>
      <c r="T1286" s="16">
        <f>S1286*1.33</f>
        <v>230.81041666666667</v>
      </c>
    </row>
    <row r="1287" spans="1:36" x14ac:dyDescent="0.2">
      <c r="A1287">
        <v>-87</v>
      </c>
      <c r="B1287" s="10" t="s">
        <v>72</v>
      </c>
      <c r="C1287" s="11" t="s">
        <v>2556</v>
      </c>
      <c r="D1287" s="7" t="s">
        <v>2557</v>
      </c>
      <c r="E1287" s="13">
        <v>30</v>
      </c>
      <c r="F1287" s="13">
        <v>8</v>
      </c>
      <c r="G1287" s="13">
        <f t="shared" si="55"/>
        <v>212</v>
      </c>
      <c r="H1287" s="13">
        <v>88</v>
      </c>
      <c r="I1287" s="14">
        <f t="shared" si="56"/>
        <v>-87.336986301369862</v>
      </c>
      <c r="J1287" s="7" t="s">
        <v>2558</v>
      </c>
      <c r="P1287">
        <v>46</v>
      </c>
      <c r="Q1287" s="17">
        <v>46</v>
      </c>
      <c r="R1287" s="16">
        <f>1000/Q1287</f>
        <v>21.739130434782609</v>
      </c>
      <c r="S1287" s="16">
        <f>8.33*R1287</f>
        <v>181.08695652173913</v>
      </c>
      <c r="T1287" s="16">
        <f>S1287*1.33</f>
        <v>240.84565217391304</v>
      </c>
    </row>
    <row r="1288" spans="1:36" x14ac:dyDescent="0.2">
      <c r="A1288">
        <v>-87</v>
      </c>
      <c r="B1288" s="10" t="s">
        <v>72</v>
      </c>
      <c r="C1288" s="11" t="s">
        <v>42</v>
      </c>
      <c r="D1288" s="15" t="s">
        <v>2559</v>
      </c>
      <c r="E1288" s="13">
        <v>1</v>
      </c>
      <c r="F1288" s="13">
        <v>9</v>
      </c>
      <c r="G1288" s="13">
        <f t="shared" si="55"/>
        <v>243</v>
      </c>
      <c r="H1288" s="13">
        <v>88</v>
      </c>
      <c r="I1288" s="14">
        <f t="shared" si="56"/>
        <v>-87.331506849315062</v>
      </c>
      <c r="J1288" s="26" t="s">
        <v>2560</v>
      </c>
      <c r="T1288" s="8"/>
    </row>
    <row r="1289" spans="1:36" x14ac:dyDescent="0.2">
      <c r="A1289">
        <v>-87</v>
      </c>
      <c r="B1289" s="10" t="s">
        <v>72</v>
      </c>
      <c r="C1289" s="11" t="s">
        <v>2387</v>
      </c>
      <c r="D1289" s="25" t="s">
        <v>2561</v>
      </c>
      <c r="E1289" s="13">
        <v>4</v>
      </c>
      <c r="F1289" s="13">
        <v>9</v>
      </c>
      <c r="G1289" s="13">
        <f t="shared" si="55"/>
        <v>243</v>
      </c>
      <c r="H1289" s="13">
        <v>88</v>
      </c>
      <c r="I1289" s="14">
        <f t="shared" si="56"/>
        <v>-87.323287671232876</v>
      </c>
      <c r="J1289" s="7" t="s">
        <v>2562</v>
      </c>
      <c r="T1289" s="8"/>
      <c r="AC1289">
        <v>5.5</v>
      </c>
      <c r="AD1289" s="17">
        <v>5.5</v>
      </c>
      <c r="AE1289" s="16">
        <f>1000/AD1289</f>
        <v>181.81818181818181</v>
      </c>
      <c r="AF1289" s="16">
        <f>8.33*AE1289</f>
        <v>1514.5454545454545</v>
      </c>
    </row>
    <row r="1290" spans="1:36" x14ac:dyDescent="0.2">
      <c r="A1290">
        <v>-87</v>
      </c>
      <c r="B1290" s="10" t="s">
        <v>72</v>
      </c>
      <c r="C1290" s="11" t="s">
        <v>1770</v>
      </c>
      <c r="D1290" s="7" t="s">
        <v>2558</v>
      </c>
      <c r="E1290" s="13">
        <v>16</v>
      </c>
      <c r="F1290" s="13">
        <v>9</v>
      </c>
      <c r="G1290" s="13">
        <f t="shared" si="55"/>
        <v>243</v>
      </c>
      <c r="H1290" s="13">
        <v>88</v>
      </c>
      <c r="I1290" s="14">
        <f t="shared" si="56"/>
        <v>-87.290410958904104</v>
      </c>
      <c r="J1290" s="7" t="s">
        <v>2563</v>
      </c>
      <c r="T1290" s="8"/>
      <c r="AC1290">
        <v>5.375</v>
      </c>
      <c r="AD1290" s="17">
        <v>5.375</v>
      </c>
      <c r="AE1290" s="16">
        <f>1000/AD1290</f>
        <v>186.04651162790697</v>
      </c>
      <c r="AF1290" s="16">
        <f>8.33*AE1290</f>
        <v>1549.7674418604649</v>
      </c>
    </row>
    <row r="1291" spans="1:36" x14ac:dyDescent="0.2">
      <c r="A1291">
        <v>-87</v>
      </c>
      <c r="B1291" s="10" t="s">
        <v>72</v>
      </c>
      <c r="C1291" s="11" t="s">
        <v>1774</v>
      </c>
      <c r="D1291" s="7" t="s">
        <v>2564</v>
      </c>
      <c r="E1291" s="13">
        <v>18</v>
      </c>
      <c r="F1291" s="13">
        <v>9</v>
      </c>
      <c r="G1291" s="13">
        <f t="shared" si="55"/>
        <v>243</v>
      </c>
      <c r="H1291" s="13">
        <v>88</v>
      </c>
      <c r="I1291" s="14">
        <f t="shared" si="56"/>
        <v>-87.284931506849318</v>
      </c>
      <c r="J1291" s="7" t="s">
        <v>2565</v>
      </c>
      <c r="T1291" s="8"/>
      <c r="AC1291" t="s">
        <v>41</v>
      </c>
    </row>
    <row r="1292" spans="1:36" x14ac:dyDescent="0.2">
      <c r="A1292">
        <v>-87</v>
      </c>
      <c r="B1292" s="10" t="s">
        <v>72</v>
      </c>
      <c r="C1292" s="11" t="s">
        <v>45</v>
      </c>
      <c r="D1292" s="15" t="s">
        <v>2566</v>
      </c>
      <c r="E1292" s="13">
        <v>11</v>
      </c>
      <c r="F1292" s="13">
        <v>9</v>
      </c>
      <c r="G1292" s="13">
        <f t="shared" si="55"/>
        <v>243</v>
      </c>
      <c r="H1292" s="13">
        <v>88</v>
      </c>
      <c r="I1292" s="14">
        <f t="shared" si="56"/>
        <v>-87.30410958904109</v>
      </c>
      <c r="J1292" s="26" t="s">
        <v>2567</v>
      </c>
      <c r="T1292" s="8"/>
    </row>
    <row r="1293" spans="1:36" x14ac:dyDescent="0.2">
      <c r="A1293">
        <v>-87</v>
      </c>
      <c r="B1293" s="10" t="s">
        <v>91</v>
      </c>
      <c r="D1293" s="15" t="s">
        <v>2568</v>
      </c>
      <c r="E1293" s="13">
        <v>21</v>
      </c>
      <c r="F1293" s="13">
        <v>9</v>
      </c>
      <c r="G1293" s="13">
        <f t="shared" si="55"/>
        <v>243</v>
      </c>
      <c r="H1293" s="13">
        <v>88</v>
      </c>
      <c r="I1293" s="14">
        <f t="shared" si="56"/>
        <v>-87.276712328767118</v>
      </c>
      <c r="J1293" s="26" t="s">
        <v>2569</v>
      </c>
      <c r="T1293" s="8"/>
      <c r="Y1293" s="1">
        <v>24</v>
      </c>
      <c r="Z1293" s="9">
        <v>24</v>
      </c>
      <c r="AA1293" s="8">
        <f>1000/Z1293</f>
        <v>41.666666666666664</v>
      </c>
      <c r="AB1293" s="8">
        <f>8.33*AA1293</f>
        <v>347.08333333333331</v>
      </c>
      <c r="AG1293" s="1">
        <v>1</v>
      </c>
      <c r="AH1293" s="9">
        <v>1</v>
      </c>
      <c r="AI1293" s="8">
        <f>1/AH1293</f>
        <v>1</v>
      </c>
      <c r="AJ1293" s="8">
        <f>8.33*AI1293</f>
        <v>8.33</v>
      </c>
    </row>
    <row r="1294" spans="1:36" x14ac:dyDescent="0.2">
      <c r="A1294">
        <v>-87</v>
      </c>
      <c r="B1294" s="10" t="s">
        <v>91</v>
      </c>
      <c r="C1294" s="11" t="s">
        <v>39</v>
      </c>
      <c r="D1294" s="15" t="s">
        <v>2568</v>
      </c>
      <c r="E1294" s="13">
        <v>21</v>
      </c>
      <c r="F1294" s="13">
        <v>9</v>
      </c>
      <c r="G1294" s="13">
        <f t="shared" si="55"/>
        <v>243</v>
      </c>
      <c r="H1294" s="13">
        <v>88</v>
      </c>
      <c r="I1294" s="14">
        <f t="shared" si="56"/>
        <v>-87.276712328767118</v>
      </c>
      <c r="J1294" s="26" t="s">
        <v>2570</v>
      </c>
      <c r="T1294" s="8"/>
    </row>
    <row r="1295" spans="1:36" x14ac:dyDescent="0.2">
      <c r="A1295">
        <v>-87</v>
      </c>
      <c r="B1295" s="10" t="s">
        <v>91</v>
      </c>
      <c r="C1295" s="11" t="s">
        <v>1539</v>
      </c>
      <c r="D1295" s="7" t="s">
        <v>2568</v>
      </c>
      <c r="E1295" s="13">
        <v>21</v>
      </c>
      <c r="F1295" s="13">
        <v>9</v>
      </c>
      <c r="G1295" s="13">
        <f t="shared" si="55"/>
        <v>243</v>
      </c>
      <c r="H1295" s="13">
        <v>88</v>
      </c>
      <c r="I1295" s="14">
        <f t="shared" si="56"/>
        <v>-87.276712328767118</v>
      </c>
      <c r="J1295" s="7" t="s">
        <v>2571</v>
      </c>
      <c r="T1295" s="8"/>
      <c r="AC1295">
        <v>5</v>
      </c>
      <c r="AD1295" s="17">
        <v>5</v>
      </c>
      <c r="AE1295" s="16">
        <f>1000/AD1295</f>
        <v>200</v>
      </c>
      <c r="AF1295" s="16">
        <f>8.33*AE1295</f>
        <v>1666</v>
      </c>
    </row>
    <row r="1296" spans="1:36" x14ac:dyDescent="0.2">
      <c r="A1296">
        <v>-87</v>
      </c>
      <c r="B1296" s="10" t="s">
        <v>91</v>
      </c>
      <c r="C1296" s="11" t="s">
        <v>2572</v>
      </c>
      <c r="D1296" s="7" t="s">
        <v>2573</v>
      </c>
      <c r="E1296" s="13">
        <v>24</v>
      </c>
      <c r="F1296" s="13">
        <v>9</v>
      </c>
      <c r="G1296" s="13">
        <f t="shared" si="55"/>
        <v>243</v>
      </c>
      <c r="H1296" s="13">
        <v>88</v>
      </c>
      <c r="I1296" s="14">
        <f t="shared" si="56"/>
        <v>-87.268493150684932</v>
      </c>
      <c r="J1296" s="7" t="s">
        <v>2574</v>
      </c>
      <c r="T1296" s="8"/>
      <c r="AC1296" t="s">
        <v>41</v>
      </c>
    </row>
    <row r="1297" spans="1:36" x14ac:dyDescent="0.2">
      <c r="A1297">
        <v>-87</v>
      </c>
      <c r="B1297" s="10" t="s">
        <v>91</v>
      </c>
      <c r="C1297" s="11" t="s">
        <v>42</v>
      </c>
      <c r="D1297" s="15" t="s">
        <v>2575</v>
      </c>
      <c r="E1297" s="13">
        <v>1</v>
      </c>
      <c r="F1297" s="13">
        <v>10</v>
      </c>
      <c r="G1297" s="13">
        <f t="shared" si="55"/>
        <v>273</v>
      </c>
      <c r="H1297" s="13">
        <v>88</v>
      </c>
      <c r="I1297" s="14">
        <f t="shared" si="56"/>
        <v>-87.249315068493146</v>
      </c>
      <c r="J1297" s="26" t="s">
        <v>2576</v>
      </c>
      <c r="T1297" s="8"/>
    </row>
    <row r="1298" spans="1:36" x14ac:dyDescent="0.2">
      <c r="A1298">
        <v>-87</v>
      </c>
      <c r="B1298" s="10" t="s">
        <v>91</v>
      </c>
      <c r="C1298" s="11" t="s">
        <v>45</v>
      </c>
      <c r="D1298" s="15" t="s">
        <v>2577</v>
      </c>
      <c r="E1298" s="13">
        <v>11</v>
      </c>
      <c r="F1298" s="13">
        <v>10</v>
      </c>
      <c r="G1298" s="13">
        <f t="shared" si="55"/>
        <v>273</v>
      </c>
      <c r="H1298" s="13">
        <v>88</v>
      </c>
      <c r="I1298" s="14">
        <f t="shared" si="56"/>
        <v>-87.221917808219175</v>
      </c>
      <c r="J1298" s="26" t="s">
        <v>2569</v>
      </c>
      <c r="T1298" s="8"/>
    </row>
    <row r="1299" spans="1:36" x14ac:dyDescent="0.2">
      <c r="A1299">
        <v>-87</v>
      </c>
      <c r="B1299" s="10" t="s">
        <v>83</v>
      </c>
      <c r="C1299" s="11" t="s">
        <v>39</v>
      </c>
      <c r="D1299" s="15" t="s">
        <v>2578</v>
      </c>
      <c r="E1299" s="13">
        <v>17</v>
      </c>
      <c r="F1299" s="13">
        <v>1</v>
      </c>
      <c r="G1299" s="13">
        <f t="shared" si="55"/>
        <v>0</v>
      </c>
      <c r="H1299" s="13">
        <v>87</v>
      </c>
      <c r="I1299" s="14">
        <f t="shared" si="56"/>
        <v>-86.953424657534242</v>
      </c>
      <c r="J1299" s="26" t="s">
        <v>2579</v>
      </c>
      <c r="T1299" s="8"/>
    </row>
    <row r="1300" spans="1:36" x14ac:dyDescent="0.2">
      <c r="A1300">
        <v>-87</v>
      </c>
      <c r="B1300" s="10" t="s">
        <v>83</v>
      </c>
      <c r="C1300" s="11" t="s">
        <v>2580</v>
      </c>
      <c r="D1300" s="25" t="s">
        <v>2578</v>
      </c>
      <c r="E1300" s="13">
        <v>17</v>
      </c>
      <c r="F1300" s="13">
        <v>1</v>
      </c>
      <c r="G1300" s="13">
        <f t="shared" si="55"/>
        <v>0</v>
      </c>
      <c r="H1300" s="13">
        <v>87</v>
      </c>
      <c r="I1300" s="14">
        <f t="shared" si="56"/>
        <v>-86.953424657534242</v>
      </c>
      <c r="J1300" s="7" t="s">
        <v>2581</v>
      </c>
      <c r="T1300" s="8"/>
      <c r="AC1300" t="s">
        <v>2582</v>
      </c>
      <c r="AD1300" s="20">
        <v>5.375</v>
      </c>
      <c r="AE1300" s="19">
        <f>1000/AD1300</f>
        <v>186.04651162790697</v>
      </c>
      <c r="AF1300" s="19">
        <f>8.33*AE1300</f>
        <v>1549.7674418604649</v>
      </c>
    </row>
    <row r="1301" spans="1:36" x14ac:dyDescent="0.2">
      <c r="A1301">
        <v>-87</v>
      </c>
      <c r="B1301" s="10" t="s">
        <v>83</v>
      </c>
      <c r="C1301" s="11" t="s">
        <v>2583</v>
      </c>
      <c r="D1301" s="7" t="s">
        <v>2581</v>
      </c>
      <c r="E1301" s="13">
        <v>22</v>
      </c>
      <c r="F1301" s="13">
        <v>1</v>
      </c>
      <c r="G1301" s="13">
        <f t="shared" si="55"/>
        <v>0</v>
      </c>
      <c r="H1301" s="13">
        <v>87</v>
      </c>
      <c r="I1301" s="14">
        <f t="shared" si="56"/>
        <v>-86.939726027397256</v>
      </c>
      <c r="J1301" s="7" t="s">
        <v>2584</v>
      </c>
      <c r="T1301" s="8"/>
      <c r="AC1301">
        <v>5</v>
      </c>
      <c r="AD1301" s="17">
        <v>5</v>
      </c>
      <c r="AE1301" s="16">
        <f>1000/AD1301</f>
        <v>200</v>
      </c>
      <c r="AF1301" s="16">
        <f>8.33*AE1301</f>
        <v>1666</v>
      </c>
    </row>
    <row r="1302" spans="1:36" x14ac:dyDescent="0.2">
      <c r="A1302">
        <v>-87</v>
      </c>
      <c r="B1302" s="10" t="s">
        <v>83</v>
      </c>
      <c r="C1302" s="11" t="s">
        <v>42</v>
      </c>
      <c r="D1302" s="15" t="s">
        <v>2585</v>
      </c>
      <c r="E1302" s="13">
        <v>27</v>
      </c>
      <c r="F1302" s="13">
        <v>1</v>
      </c>
      <c r="G1302" s="13">
        <f t="shared" si="55"/>
        <v>0</v>
      </c>
      <c r="H1302" s="13">
        <v>87</v>
      </c>
      <c r="I1302" s="14">
        <f t="shared" si="56"/>
        <v>-86.92602739726027</v>
      </c>
      <c r="J1302" s="26" t="s">
        <v>2586</v>
      </c>
      <c r="T1302" s="8"/>
    </row>
    <row r="1303" spans="1:36" x14ac:dyDescent="0.2">
      <c r="A1303">
        <v>-87</v>
      </c>
      <c r="B1303" s="10" t="s">
        <v>83</v>
      </c>
      <c r="C1303" s="11" t="s">
        <v>2202</v>
      </c>
      <c r="D1303" s="25" t="s">
        <v>2587</v>
      </c>
      <c r="E1303" s="13">
        <v>11</v>
      </c>
      <c r="F1303" s="13">
        <v>2</v>
      </c>
      <c r="G1303" s="13">
        <f t="shared" si="55"/>
        <v>31</v>
      </c>
      <c r="H1303" s="13">
        <v>87</v>
      </c>
      <c r="I1303" s="14">
        <f t="shared" si="56"/>
        <v>-86.884931506849313</v>
      </c>
      <c r="J1303" s="7" t="s">
        <v>2588</v>
      </c>
      <c r="P1303">
        <v>33.75</v>
      </c>
      <c r="Q1303" s="17">
        <v>33.75</v>
      </c>
      <c r="R1303" s="16">
        <f>1000/Q1303</f>
        <v>29.62962962962963</v>
      </c>
      <c r="S1303" s="16">
        <f>8.33*R1303</f>
        <v>246.81481481481481</v>
      </c>
      <c r="T1303" s="16">
        <f>S1303*1.33</f>
        <v>328.2637037037037</v>
      </c>
    </row>
    <row r="1304" spans="1:36" x14ac:dyDescent="0.2">
      <c r="A1304">
        <v>-87</v>
      </c>
      <c r="B1304" s="10" t="s">
        <v>83</v>
      </c>
      <c r="C1304" s="11" t="s">
        <v>45</v>
      </c>
      <c r="D1304" s="15" t="s">
        <v>2589</v>
      </c>
      <c r="E1304" s="13">
        <v>6</v>
      </c>
      <c r="F1304" s="13">
        <v>2</v>
      </c>
      <c r="G1304" s="13">
        <f t="shared" si="55"/>
        <v>31</v>
      </c>
      <c r="H1304" s="13">
        <v>87</v>
      </c>
      <c r="I1304" s="14">
        <f t="shared" si="56"/>
        <v>-86.898630136986299</v>
      </c>
      <c r="J1304" s="26" t="s">
        <v>2584</v>
      </c>
    </row>
    <row r="1305" spans="1:36" x14ac:dyDescent="0.2">
      <c r="A1305">
        <v>-87</v>
      </c>
      <c r="B1305" s="10" t="s">
        <v>83</v>
      </c>
      <c r="C1305" s="11" t="s">
        <v>2206</v>
      </c>
      <c r="D1305" s="7" t="s">
        <v>2590</v>
      </c>
      <c r="E1305" s="13">
        <v>13</v>
      </c>
      <c r="F1305" s="13">
        <v>2</v>
      </c>
      <c r="G1305" s="13">
        <f t="shared" si="55"/>
        <v>31</v>
      </c>
      <c r="H1305" s="13">
        <v>87</v>
      </c>
      <c r="I1305" s="14">
        <f t="shared" si="56"/>
        <v>-86.879452054794527</v>
      </c>
      <c r="J1305" s="7" t="s">
        <v>2584</v>
      </c>
      <c r="P1305">
        <v>33.25</v>
      </c>
      <c r="Q1305" s="17">
        <v>33.25</v>
      </c>
      <c r="R1305" s="16">
        <f>1000/Q1305</f>
        <v>30.075187969924812</v>
      </c>
      <c r="S1305" s="16">
        <f>8.33*R1305</f>
        <v>250.5263157894737</v>
      </c>
      <c r="T1305" s="16">
        <f>S1305*1.33</f>
        <v>333.20000000000005</v>
      </c>
    </row>
    <row r="1306" spans="1:36" x14ac:dyDescent="0.2">
      <c r="A1306">
        <v>-87</v>
      </c>
      <c r="B1306" s="10" t="s">
        <v>127</v>
      </c>
      <c r="D1306" s="15" t="s">
        <v>2591</v>
      </c>
      <c r="E1306" s="13">
        <v>16</v>
      </c>
      <c r="F1306" s="13">
        <v>2</v>
      </c>
      <c r="G1306" s="13">
        <f t="shared" si="55"/>
        <v>31</v>
      </c>
      <c r="H1306" s="13">
        <v>87</v>
      </c>
      <c r="I1306" s="14">
        <f t="shared" si="56"/>
        <v>-86.871232876712327</v>
      </c>
      <c r="J1306" s="26" t="s">
        <v>2592</v>
      </c>
      <c r="U1306" s="1">
        <v>198</v>
      </c>
      <c r="V1306" s="9">
        <v>198</v>
      </c>
      <c r="W1306" s="8">
        <f>1000/V1306</f>
        <v>5.0505050505050502</v>
      </c>
      <c r="X1306" s="8">
        <f>8.33*W1306</f>
        <v>42.070707070707066</v>
      </c>
      <c r="AG1306" s="1">
        <v>1</v>
      </c>
      <c r="AH1306" s="9">
        <v>1</v>
      </c>
      <c r="AI1306" s="8">
        <f>1/AH1306</f>
        <v>1</v>
      </c>
      <c r="AJ1306" s="8">
        <f>8.33*AI1306</f>
        <v>8.33</v>
      </c>
    </row>
    <row r="1307" spans="1:36" x14ac:dyDescent="0.2">
      <c r="A1307">
        <v>-87</v>
      </c>
      <c r="B1307" s="10" t="s">
        <v>127</v>
      </c>
      <c r="C1307" s="11" t="s">
        <v>39</v>
      </c>
      <c r="D1307" s="15" t="s">
        <v>2591</v>
      </c>
      <c r="E1307" s="13">
        <v>16</v>
      </c>
      <c r="F1307" s="13">
        <v>2</v>
      </c>
      <c r="G1307" s="13">
        <f t="shared" si="55"/>
        <v>31</v>
      </c>
      <c r="H1307" s="13">
        <v>87</v>
      </c>
      <c r="I1307" s="14">
        <f t="shared" si="56"/>
        <v>-86.871232876712327</v>
      </c>
      <c r="J1307" s="26" t="s">
        <v>2593</v>
      </c>
      <c r="Y1307" t="s">
        <v>41</v>
      </c>
    </row>
    <row r="1308" spans="1:36" x14ac:dyDescent="0.2">
      <c r="A1308">
        <v>-87</v>
      </c>
      <c r="B1308" s="10" t="s">
        <v>127</v>
      </c>
      <c r="C1308" s="11" t="s">
        <v>2594</v>
      </c>
      <c r="D1308" s="25" t="s">
        <v>2591</v>
      </c>
      <c r="E1308" s="13">
        <v>16</v>
      </c>
      <c r="F1308" s="13">
        <v>2</v>
      </c>
      <c r="G1308" s="13">
        <f t="shared" si="55"/>
        <v>31</v>
      </c>
      <c r="H1308" s="13">
        <v>87</v>
      </c>
      <c r="I1308" s="14">
        <f t="shared" si="56"/>
        <v>-86.871232876712327</v>
      </c>
      <c r="J1308" s="7" t="s">
        <v>2595</v>
      </c>
      <c r="P1308">
        <v>31.5</v>
      </c>
      <c r="Q1308" s="17">
        <v>31.5</v>
      </c>
      <c r="R1308" s="16">
        <f>1000/Q1308</f>
        <v>31.746031746031747</v>
      </c>
      <c r="S1308" s="16">
        <f>8.33*R1308</f>
        <v>264.44444444444446</v>
      </c>
      <c r="T1308" s="16">
        <f>S1308*1.33</f>
        <v>351.71111111111117</v>
      </c>
    </row>
    <row r="1309" spans="1:36" x14ac:dyDescent="0.2">
      <c r="A1309">
        <v>-87</v>
      </c>
      <c r="B1309" s="10" t="s">
        <v>127</v>
      </c>
      <c r="C1309" s="11" t="s">
        <v>2596</v>
      </c>
      <c r="D1309" s="7" t="s">
        <v>2591</v>
      </c>
      <c r="E1309" s="13">
        <v>16</v>
      </c>
      <c r="F1309" s="13">
        <v>2</v>
      </c>
      <c r="G1309" s="13">
        <f t="shared" si="55"/>
        <v>31</v>
      </c>
      <c r="H1309" s="13">
        <v>87</v>
      </c>
      <c r="I1309" s="14">
        <f t="shared" si="56"/>
        <v>-86.871232876712327</v>
      </c>
      <c r="J1309" s="7" t="s">
        <v>2597</v>
      </c>
      <c r="K1309" s="10">
        <v>25.75</v>
      </c>
      <c r="L1309" s="16">
        <v>25.75</v>
      </c>
      <c r="M1309" s="16">
        <f>1000/L1309</f>
        <v>38.834951456310677</v>
      </c>
      <c r="N1309" s="16">
        <f>8.33*M1309</f>
        <v>323.49514563106794</v>
      </c>
      <c r="O1309" s="16">
        <f>1.613*N1309</f>
        <v>521.79766990291262</v>
      </c>
    </row>
    <row r="1310" spans="1:36" x14ac:dyDescent="0.2">
      <c r="A1310">
        <v>-87</v>
      </c>
      <c r="B1310" s="10" t="s">
        <v>127</v>
      </c>
      <c r="C1310" s="11" t="s">
        <v>42</v>
      </c>
      <c r="D1310" s="15" t="s">
        <v>2598</v>
      </c>
      <c r="E1310" s="13">
        <v>26</v>
      </c>
      <c r="F1310" s="13">
        <v>2</v>
      </c>
      <c r="G1310" s="13">
        <f t="shared" si="55"/>
        <v>31</v>
      </c>
      <c r="H1310" s="13">
        <v>87</v>
      </c>
      <c r="I1310" s="14">
        <f t="shared" si="56"/>
        <v>-86.843835616438355</v>
      </c>
      <c r="J1310" s="26" t="s">
        <v>2599</v>
      </c>
    </row>
    <row r="1311" spans="1:36" x14ac:dyDescent="0.2">
      <c r="A1311">
        <v>-87</v>
      </c>
      <c r="B1311" s="10" t="s">
        <v>127</v>
      </c>
      <c r="C1311" s="11" t="s">
        <v>45</v>
      </c>
      <c r="D1311" s="15" t="s">
        <v>2600</v>
      </c>
      <c r="E1311" s="13">
        <v>7</v>
      </c>
      <c r="F1311" s="13">
        <v>3</v>
      </c>
      <c r="G1311" s="13">
        <f t="shared" si="55"/>
        <v>59</v>
      </c>
      <c r="H1311" s="13">
        <v>87</v>
      </c>
      <c r="I1311" s="14">
        <f t="shared" si="56"/>
        <v>-86.819178082191783</v>
      </c>
      <c r="J1311" s="26" t="s">
        <v>2601</v>
      </c>
    </row>
    <row r="1312" spans="1:36" x14ac:dyDescent="0.2">
      <c r="A1312">
        <v>-87</v>
      </c>
      <c r="B1312" s="10" t="s">
        <v>127</v>
      </c>
      <c r="C1312" s="11" t="s">
        <v>2602</v>
      </c>
      <c r="D1312" s="7" t="s">
        <v>2597</v>
      </c>
      <c r="E1312" s="13">
        <v>11</v>
      </c>
      <c r="F1312" s="13">
        <v>3</v>
      </c>
      <c r="G1312" s="13">
        <f t="shared" si="55"/>
        <v>59</v>
      </c>
      <c r="H1312" s="13">
        <v>87</v>
      </c>
      <c r="I1312" s="14">
        <f t="shared" si="56"/>
        <v>-86.808219178082197</v>
      </c>
      <c r="J1312" s="7" t="s">
        <v>2603</v>
      </c>
      <c r="P1312">
        <v>30</v>
      </c>
      <c r="Q1312" s="17">
        <v>30</v>
      </c>
      <c r="R1312" s="16">
        <f>1000/Q1312</f>
        <v>33.333333333333336</v>
      </c>
      <c r="S1312" s="16">
        <f>8.33*R1312</f>
        <v>277.66666666666669</v>
      </c>
      <c r="T1312" s="16">
        <f>S1312*1.33</f>
        <v>369.29666666666674</v>
      </c>
    </row>
    <row r="1313" spans="1:37" x14ac:dyDescent="0.2">
      <c r="A1313">
        <v>-87</v>
      </c>
      <c r="B1313" s="10" t="s">
        <v>127</v>
      </c>
      <c r="C1313" s="11" t="s">
        <v>1782</v>
      </c>
      <c r="D1313" s="7" t="s">
        <v>2604</v>
      </c>
      <c r="E1313" s="13">
        <v>12</v>
      </c>
      <c r="F1313" s="13">
        <v>3</v>
      </c>
      <c r="G1313" s="13">
        <f t="shared" si="55"/>
        <v>59</v>
      </c>
      <c r="H1313" s="13">
        <v>87</v>
      </c>
      <c r="I1313" s="14">
        <f t="shared" si="56"/>
        <v>-86.805479452054797</v>
      </c>
      <c r="J1313" s="7" t="s">
        <v>2592</v>
      </c>
      <c r="K1313" s="10" t="s">
        <v>41</v>
      </c>
      <c r="T1313" s="8"/>
    </row>
    <row r="1314" spans="1:37" x14ac:dyDescent="0.2">
      <c r="A1314">
        <v>-87</v>
      </c>
      <c r="B1314" s="10" t="s">
        <v>127</v>
      </c>
      <c r="C1314" s="11" t="s">
        <v>2206</v>
      </c>
      <c r="D1314" s="7" t="s">
        <v>2605</v>
      </c>
      <c r="E1314" s="13">
        <v>15</v>
      </c>
      <c r="F1314" s="13">
        <v>3</v>
      </c>
      <c r="G1314" s="13">
        <f t="shared" si="55"/>
        <v>59</v>
      </c>
      <c r="H1314" s="13">
        <v>87</v>
      </c>
      <c r="I1314" s="14">
        <f t="shared" si="56"/>
        <v>-86.797260273972597</v>
      </c>
      <c r="J1314" s="7" t="s">
        <v>2592</v>
      </c>
      <c r="P1314">
        <v>29</v>
      </c>
      <c r="Q1314" s="17">
        <v>29</v>
      </c>
      <c r="R1314" s="16">
        <f>1000/Q1314</f>
        <v>34.482758620689658</v>
      </c>
      <c r="S1314" s="16">
        <f>8.33*R1314</f>
        <v>287.24137931034488</v>
      </c>
      <c r="T1314" s="16">
        <f>S1314*1.33</f>
        <v>382.03103448275874</v>
      </c>
    </row>
    <row r="1315" spans="1:37" x14ac:dyDescent="0.2">
      <c r="A1315">
        <v>-87</v>
      </c>
      <c r="B1315" s="10" t="s">
        <v>162</v>
      </c>
      <c r="D1315" s="15" t="s">
        <v>2606</v>
      </c>
      <c r="E1315" s="13">
        <v>18</v>
      </c>
      <c r="F1315" s="13">
        <v>3</v>
      </c>
      <c r="G1315" s="13">
        <f t="shared" si="55"/>
        <v>59</v>
      </c>
      <c r="H1315" s="13">
        <v>87</v>
      </c>
      <c r="I1315" s="14">
        <f t="shared" si="56"/>
        <v>-86.789041095890411</v>
      </c>
      <c r="J1315" s="26" t="s">
        <v>2607</v>
      </c>
      <c r="T1315" s="8"/>
      <c r="U1315" s="1">
        <v>180</v>
      </c>
      <c r="V1315" s="9">
        <v>180</v>
      </c>
      <c r="W1315" s="8">
        <f>1000/V1315</f>
        <v>5.5555555555555554</v>
      </c>
      <c r="X1315" s="8">
        <f>8.33*W1315</f>
        <v>46.277777777777779</v>
      </c>
    </row>
    <row r="1316" spans="1:37" x14ac:dyDescent="0.2">
      <c r="A1316">
        <v>-87</v>
      </c>
      <c r="B1316" s="10" t="s">
        <v>162</v>
      </c>
      <c r="C1316" s="11" t="s">
        <v>39</v>
      </c>
      <c r="D1316" s="15" t="s">
        <v>2606</v>
      </c>
      <c r="E1316" s="13">
        <v>18</v>
      </c>
      <c r="F1316" s="13">
        <v>3</v>
      </c>
      <c r="G1316" s="13">
        <f t="shared" si="55"/>
        <v>59</v>
      </c>
      <c r="H1316" s="13">
        <v>87</v>
      </c>
      <c r="I1316" s="14">
        <f t="shared" si="56"/>
        <v>-86.789041095890411</v>
      </c>
      <c r="J1316" s="26" t="s">
        <v>2608</v>
      </c>
      <c r="T1316" s="8"/>
      <c r="Y1316" t="s">
        <v>41</v>
      </c>
    </row>
    <row r="1317" spans="1:37" x14ac:dyDescent="0.2">
      <c r="A1317">
        <v>-87</v>
      </c>
      <c r="B1317" s="10" t="s">
        <v>162</v>
      </c>
      <c r="C1317" s="11" t="s">
        <v>42</v>
      </c>
      <c r="D1317" s="15" t="s">
        <v>2609</v>
      </c>
      <c r="E1317" s="13">
        <v>28</v>
      </c>
      <c r="F1317" s="13">
        <v>3</v>
      </c>
      <c r="G1317" s="13">
        <f t="shared" si="55"/>
        <v>59</v>
      </c>
      <c r="H1317" s="13">
        <v>87</v>
      </c>
      <c r="I1317" s="14">
        <f t="shared" si="56"/>
        <v>-86.761643835616439</v>
      </c>
      <c r="J1317" s="26" t="s">
        <v>2610</v>
      </c>
      <c r="T1317" s="8"/>
      <c r="U1317" s="1"/>
      <c r="V1317" s="9"/>
    </row>
    <row r="1318" spans="1:37" x14ac:dyDescent="0.2">
      <c r="A1318">
        <v>-87</v>
      </c>
      <c r="B1318" s="10" t="s">
        <v>162</v>
      </c>
      <c r="C1318" s="11" t="s">
        <v>2494</v>
      </c>
      <c r="D1318" s="7" t="s">
        <v>2611</v>
      </c>
      <c r="E1318" s="13">
        <v>31</v>
      </c>
      <c r="F1318" s="13">
        <v>3</v>
      </c>
      <c r="G1318" s="13">
        <f t="shared" si="55"/>
        <v>59</v>
      </c>
      <c r="H1318" s="13">
        <v>87</v>
      </c>
      <c r="I1318" s="14">
        <f t="shared" si="56"/>
        <v>-86.753424657534254</v>
      </c>
      <c r="J1318" s="7" t="s">
        <v>2612</v>
      </c>
      <c r="K1318" s="10">
        <v>25</v>
      </c>
      <c r="L1318" s="16">
        <v>25</v>
      </c>
      <c r="M1318" s="16">
        <f>1000/L1318</f>
        <v>40</v>
      </c>
      <c r="N1318" s="16">
        <f>8.33*M1318</f>
        <v>333.2</v>
      </c>
      <c r="O1318" s="16">
        <f>1.613*N1318</f>
        <v>537.45159999999998</v>
      </c>
      <c r="T1318" s="8"/>
    </row>
    <row r="1319" spans="1:37" x14ac:dyDescent="0.2">
      <c r="A1319">
        <v>-87</v>
      </c>
      <c r="B1319" s="10" t="s">
        <v>162</v>
      </c>
      <c r="C1319" s="11" t="s">
        <v>2261</v>
      </c>
      <c r="D1319" s="7" t="s">
        <v>2613</v>
      </c>
      <c r="E1319" s="13">
        <v>2</v>
      </c>
      <c r="F1319" s="13">
        <v>4</v>
      </c>
      <c r="G1319" s="13">
        <f t="shared" si="55"/>
        <v>90</v>
      </c>
      <c r="H1319" s="13">
        <v>87</v>
      </c>
      <c r="I1319" s="14">
        <f t="shared" si="56"/>
        <v>-86.747945205479454</v>
      </c>
      <c r="J1319" s="7" t="s">
        <v>2607</v>
      </c>
      <c r="K1319" s="10">
        <v>25.75</v>
      </c>
      <c r="L1319" s="16">
        <v>25.75</v>
      </c>
      <c r="M1319" s="16">
        <f>1000/L1319</f>
        <v>38.834951456310677</v>
      </c>
      <c r="N1319" s="16">
        <f>8.33*M1319</f>
        <v>323.49514563106794</v>
      </c>
      <c r="O1319" s="16">
        <f>1.613*N1319</f>
        <v>521.79766990291262</v>
      </c>
      <c r="T1319" s="8"/>
    </row>
    <row r="1320" spans="1:37" x14ac:dyDescent="0.2">
      <c r="A1320">
        <v>-87</v>
      </c>
      <c r="B1320" s="10" t="s">
        <v>162</v>
      </c>
      <c r="C1320" s="11" t="s">
        <v>45</v>
      </c>
      <c r="D1320" s="15" t="s">
        <v>2614</v>
      </c>
      <c r="E1320" s="13">
        <v>7</v>
      </c>
      <c r="F1320" s="13">
        <v>4</v>
      </c>
      <c r="G1320" s="13">
        <f t="shared" si="55"/>
        <v>90</v>
      </c>
      <c r="H1320" s="13">
        <v>87</v>
      </c>
      <c r="I1320" s="14">
        <f t="shared" si="56"/>
        <v>-86.734246575342468</v>
      </c>
      <c r="J1320" s="26" t="s">
        <v>2607</v>
      </c>
      <c r="T1320" s="8"/>
    </row>
    <row r="1321" spans="1:37" x14ac:dyDescent="0.2">
      <c r="A1321">
        <v>-87</v>
      </c>
      <c r="B1321" s="10" t="s">
        <v>162</v>
      </c>
      <c r="C1321" s="11" t="s">
        <v>2440</v>
      </c>
      <c r="D1321" s="7" t="s">
        <v>2615</v>
      </c>
      <c r="E1321" s="13">
        <v>8</v>
      </c>
      <c r="F1321" s="13">
        <v>4</v>
      </c>
      <c r="G1321" s="13">
        <f t="shared" si="55"/>
        <v>90</v>
      </c>
      <c r="H1321" s="13">
        <v>87</v>
      </c>
      <c r="I1321" s="14">
        <f t="shared" si="56"/>
        <v>-86.731506849315068</v>
      </c>
      <c r="J1321" s="7" t="s">
        <v>2607</v>
      </c>
      <c r="P1321">
        <v>25.75</v>
      </c>
      <c r="Q1321" s="17">
        <v>25.75</v>
      </c>
      <c r="R1321" s="16">
        <f>1000/Q1321</f>
        <v>38.834951456310677</v>
      </c>
      <c r="S1321" s="16">
        <f>8.33*R1321</f>
        <v>323.49514563106794</v>
      </c>
      <c r="T1321" s="16">
        <f>S1321*1.33</f>
        <v>430.2485436893204</v>
      </c>
    </row>
    <row r="1322" spans="1:37" x14ac:dyDescent="0.2">
      <c r="A1322">
        <v>-86</v>
      </c>
      <c r="B1322" s="10" t="s">
        <v>47</v>
      </c>
      <c r="D1322" s="15" t="s">
        <v>2616</v>
      </c>
      <c r="E1322" s="13">
        <v>16</v>
      </c>
      <c r="F1322" s="13">
        <v>5</v>
      </c>
      <c r="G1322" s="13">
        <f t="shared" si="55"/>
        <v>120</v>
      </c>
      <c r="H1322" s="13">
        <v>87</v>
      </c>
      <c r="I1322" s="14">
        <f t="shared" si="56"/>
        <v>-86.627397260273966</v>
      </c>
      <c r="J1322" s="26" t="s">
        <v>2617</v>
      </c>
      <c r="T1322" s="8"/>
      <c r="U1322" s="1">
        <v>180</v>
      </c>
      <c r="V1322" s="9">
        <v>180</v>
      </c>
      <c r="W1322" s="8">
        <f>1000/V1322</f>
        <v>5.5555555555555554</v>
      </c>
      <c r="X1322" s="8">
        <f>8.33*W1322</f>
        <v>46.277777777777779</v>
      </c>
      <c r="Y1322" s="3" t="s">
        <v>2618</v>
      </c>
      <c r="Z1322" s="21">
        <v>15</v>
      </c>
      <c r="AA1322" s="22">
        <f>1000/Z1322</f>
        <v>66.666666666666671</v>
      </c>
      <c r="AB1322" s="22">
        <f>8.33*AA1322</f>
        <v>555.33333333333337</v>
      </c>
    </row>
    <row r="1323" spans="1:37" x14ac:dyDescent="0.2">
      <c r="A1323">
        <v>-86</v>
      </c>
      <c r="B1323" s="10" t="s">
        <v>47</v>
      </c>
      <c r="C1323" s="11" t="s">
        <v>39</v>
      </c>
      <c r="D1323" s="15" t="s">
        <v>2616</v>
      </c>
      <c r="E1323" s="13">
        <v>16</v>
      </c>
      <c r="F1323" s="13">
        <v>5</v>
      </c>
      <c r="G1323" s="13">
        <f t="shared" si="55"/>
        <v>120</v>
      </c>
      <c r="H1323" s="13">
        <v>87</v>
      </c>
      <c r="I1323" s="14">
        <f t="shared" si="56"/>
        <v>-86.627397260273966</v>
      </c>
      <c r="J1323" s="26" t="s">
        <v>2619</v>
      </c>
      <c r="T1323" s="8"/>
      <c r="Z1323" s="36"/>
    </row>
    <row r="1324" spans="1:37" x14ac:dyDescent="0.2">
      <c r="A1324">
        <v>-86</v>
      </c>
      <c r="B1324" s="10" t="s">
        <v>47</v>
      </c>
      <c r="C1324" s="11" t="s">
        <v>2093</v>
      </c>
      <c r="D1324" s="7" t="s">
        <v>2616</v>
      </c>
      <c r="E1324" s="13">
        <v>16</v>
      </c>
      <c r="F1324" s="13">
        <v>5</v>
      </c>
      <c r="G1324" s="13">
        <f t="shared" si="55"/>
        <v>120</v>
      </c>
      <c r="H1324" s="13">
        <v>87</v>
      </c>
      <c r="I1324" s="14">
        <f t="shared" si="56"/>
        <v>-86.627397260273966</v>
      </c>
      <c r="J1324" s="7" t="s">
        <v>2620</v>
      </c>
      <c r="K1324" s="23">
        <v>40</v>
      </c>
      <c r="L1324" s="19">
        <v>40</v>
      </c>
      <c r="M1324" s="19">
        <f>1000/L1324</f>
        <v>25</v>
      </c>
      <c r="N1324" s="19">
        <f>8.33*M1324</f>
        <v>208.25</v>
      </c>
      <c r="O1324" s="19">
        <f>1.613*N1324</f>
        <v>335.90724999999998</v>
      </c>
      <c r="T1324" s="8"/>
      <c r="AK1324" t="s">
        <v>2621</v>
      </c>
    </row>
    <row r="1325" spans="1:37" x14ac:dyDescent="0.2">
      <c r="A1325">
        <v>-86</v>
      </c>
      <c r="B1325" s="10" t="s">
        <v>47</v>
      </c>
      <c r="C1325" s="11" t="s">
        <v>2622</v>
      </c>
      <c r="D1325" s="7" t="s">
        <v>2623</v>
      </c>
      <c r="E1325" s="13">
        <v>20</v>
      </c>
      <c r="F1325" s="13">
        <v>5</v>
      </c>
      <c r="G1325" s="13">
        <f t="shared" si="55"/>
        <v>120</v>
      </c>
      <c r="H1325" s="13">
        <v>87</v>
      </c>
      <c r="I1325" s="14">
        <f t="shared" si="56"/>
        <v>-86.61643835616438</v>
      </c>
      <c r="J1325" s="7" t="s">
        <v>2624</v>
      </c>
      <c r="K1325" s="10" t="s">
        <v>41</v>
      </c>
      <c r="T1325" s="8"/>
    </row>
    <row r="1326" spans="1:37" x14ac:dyDescent="0.2">
      <c r="A1326">
        <v>-86</v>
      </c>
      <c r="B1326" s="10" t="s">
        <v>47</v>
      </c>
      <c r="C1326" s="11" t="s">
        <v>42</v>
      </c>
      <c r="D1326" s="26" t="s">
        <v>2625</v>
      </c>
      <c r="E1326" s="13">
        <v>26</v>
      </c>
      <c r="F1326" s="13">
        <v>5</v>
      </c>
      <c r="G1326" s="13">
        <f t="shared" si="55"/>
        <v>120</v>
      </c>
      <c r="H1326" s="13">
        <v>87</v>
      </c>
      <c r="I1326" s="14">
        <f t="shared" si="56"/>
        <v>-86.6</v>
      </c>
      <c r="J1326" s="26" t="s">
        <v>2626</v>
      </c>
      <c r="T1326" s="8"/>
    </row>
    <row r="1327" spans="1:37" x14ac:dyDescent="0.2">
      <c r="A1327">
        <v>-86</v>
      </c>
      <c r="B1327" s="10" t="s">
        <v>47</v>
      </c>
      <c r="C1327" s="11" t="s">
        <v>45</v>
      </c>
      <c r="D1327" s="15" t="s">
        <v>2627</v>
      </c>
      <c r="E1327" s="13">
        <v>5</v>
      </c>
      <c r="F1327" s="13">
        <v>6</v>
      </c>
      <c r="G1327" s="13">
        <f t="shared" si="55"/>
        <v>151</v>
      </c>
      <c r="H1327" s="13">
        <v>87</v>
      </c>
      <c r="I1327" s="14">
        <f t="shared" si="56"/>
        <v>-86.572602739726022</v>
      </c>
      <c r="J1327" s="26" t="s">
        <v>2617</v>
      </c>
      <c r="T1327" s="8"/>
    </row>
    <row r="1328" spans="1:37" x14ac:dyDescent="0.2">
      <c r="A1328">
        <v>-86</v>
      </c>
      <c r="B1328" s="10" t="s">
        <v>91</v>
      </c>
      <c r="D1328" s="15" t="s">
        <v>2628</v>
      </c>
      <c r="E1328" s="13">
        <v>10</v>
      </c>
      <c r="F1328" s="13">
        <v>10</v>
      </c>
      <c r="G1328" s="13">
        <f t="shared" si="55"/>
        <v>273</v>
      </c>
      <c r="H1328" s="13">
        <v>87</v>
      </c>
      <c r="I1328" s="14">
        <f t="shared" si="56"/>
        <v>-86.224657534246575</v>
      </c>
      <c r="J1328" s="26" t="s">
        <v>2629</v>
      </c>
      <c r="T1328" s="8"/>
      <c r="U1328" s="1">
        <v>180</v>
      </c>
      <c r="V1328" s="9">
        <v>180</v>
      </c>
      <c r="W1328" s="8">
        <f>1000/V1328</f>
        <v>5.5555555555555554</v>
      </c>
      <c r="X1328" s="8">
        <f>8.33*W1328</f>
        <v>46.277777777777779</v>
      </c>
      <c r="AG1328" s="1">
        <v>0.67</v>
      </c>
      <c r="AH1328" s="9">
        <v>0.67</v>
      </c>
      <c r="AI1328" s="8">
        <f>1/AH1328</f>
        <v>1.4925373134328357</v>
      </c>
      <c r="AJ1328" s="8">
        <f>8.33*AI1328</f>
        <v>12.432835820895521</v>
      </c>
    </row>
    <row r="1329" spans="1:37" x14ac:dyDescent="0.2">
      <c r="A1329">
        <v>-86</v>
      </c>
      <c r="B1329" s="10" t="s">
        <v>91</v>
      </c>
      <c r="C1329" s="11" t="s">
        <v>39</v>
      </c>
      <c r="D1329" s="15" t="s">
        <v>2628</v>
      </c>
      <c r="E1329" s="13">
        <v>10</v>
      </c>
      <c r="F1329" s="13">
        <v>10</v>
      </c>
      <c r="G1329" s="13">
        <f t="shared" si="55"/>
        <v>273</v>
      </c>
      <c r="H1329" s="13">
        <v>87</v>
      </c>
      <c r="I1329" s="14">
        <f t="shared" si="56"/>
        <v>-86.224657534246575</v>
      </c>
      <c r="J1329" s="26" t="s">
        <v>2630</v>
      </c>
      <c r="T1329" s="8"/>
      <c r="Y1329" t="s">
        <v>41</v>
      </c>
    </row>
    <row r="1330" spans="1:37" x14ac:dyDescent="0.2">
      <c r="A1330">
        <v>-86</v>
      </c>
      <c r="B1330" s="10" t="s">
        <v>91</v>
      </c>
      <c r="C1330" s="11" t="s">
        <v>1539</v>
      </c>
      <c r="D1330" s="7" t="s">
        <v>2628</v>
      </c>
      <c r="E1330" s="13">
        <v>10</v>
      </c>
      <c r="F1330" s="13">
        <v>10</v>
      </c>
      <c r="G1330" s="13">
        <f t="shared" si="55"/>
        <v>273</v>
      </c>
      <c r="H1330" s="13">
        <v>87</v>
      </c>
      <c r="I1330" s="14">
        <f t="shared" si="56"/>
        <v>-86.224657534246575</v>
      </c>
      <c r="J1330" s="7" t="s">
        <v>2631</v>
      </c>
      <c r="K1330" s="10" t="s">
        <v>133</v>
      </c>
      <c r="P1330">
        <v>30</v>
      </c>
      <c r="Q1330" s="17">
        <v>30</v>
      </c>
      <c r="R1330" s="16">
        <f>1000/Q1330</f>
        <v>33.333333333333336</v>
      </c>
      <c r="S1330" s="16">
        <f>8.33*R1330</f>
        <v>277.66666666666669</v>
      </c>
      <c r="T1330" s="16">
        <f>S1330*1.33</f>
        <v>369.29666666666674</v>
      </c>
      <c r="AK1330" t="s">
        <v>319</v>
      </c>
    </row>
    <row r="1331" spans="1:37" x14ac:dyDescent="0.2">
      <c r="A1331">
        <v>-86</v>
      </c>
      <c r="B1331" s="10" t="s">
        <v>91</v>
      </c>
      <c r="C1331" s="11" t="s">
        <v>42</v>
      </c>
      <c r="D1331" s="26" t="s">
        <v>2632</v>
      </c>
      <c r="E1331" s="13">
        <v>20</v>
      </c>
      <c r="F1331" s="13">
        <v>10</v>
      </c>
      <c r="G1331" s="13">
        <f t="shared" si="55"/>
        <v>273</v>
      </c>
      <c r="H1331" s="13">
        <v>87</v>
      </c>
      <c r="I1331" s="14">
        <f t="shared" si="56"/>
        <v>-86.197260273972603</v>
      </c>
      <c r="J1331" s="26" t="s">
        <v>2633</v>
      </c>
      <c r="T1331" s="8"/>
    </row>
    <row r="1332" spans="1:37" x14ac:dyDescent="0.2">
      <c r="A1332">
        <v>-86</v>
      </c>
      <c r="B1332" s="10" t="s">
        <v>91</v>
      </c>
      <c r="C1332" s="11" t="s">
        <v>45</v>
      </c>
      <c r="D1332" s="15" t="s">
        <v>2634</v>
      </c>
      <c r="E1332" s="13">
        <v>30</v>
      </c>
      <c r="F1332" s="13">
        <v>10</v>
      </c>
      <c r="G1332" s="13">
        <f t="shared" si="55"/>
        <v>273</v>
      </c>
      <c r="H1332" s="13">
        <v>87</v>
      </c>
      <c r="I1332" s="14">
        <f t="shared" si="56"/>
        <v>-86.169863013698631</v>
      </c>
      <c r="J1332" s="26" t="s">
        <v>2629</v>
      </c>
      <c r="T1332" s="8"/>
    </row>
    <row r="1333" spans="1:37" x14ac:dyDescent="0.2">
      <c r="A1333">
        <v>-86</v>
      </c>
      <c r="B1333" s="10" t="s">
        <v>94</v>
      </c>
      <c r="D1333" s="15" t="s">
        <v>2635</v>
      </c>
      <c r="E1333" s="13">
        <v>8</v>
      </c>
      <c r="F1333" s="13">
        <v>11</v>
      </c>
      <c r="G1333" s="13">
        <f t="shared" si="55"/>
        <v>304</v>
      </c>
      <c r="H1333" s="13">
        <v>87</v>
      </c>
      <c r="I1333" s="14">
        <f t="shared" si="56"/>
        <v>-86.145205479452059</v>
      </c>
      <c r="J1333" s="26" t="s">
        <v>2636</v>
      </c>
      <c r="T1333" s="8"/>
      <c r="AG1333" s="1">
        <v>0.67</v>
      </c>
      <c r="AH1333" s="9">
        <v>0.67</v>
      </c>
      <c r="AI1333" s="8">
        <f>1/AH1333</f>
        <v>1.4925373134328357</v>
      </c>
      <c r="AJ1333" s="8">
        <f>8.33*AI1333</f>
        <v>12.432835820895521</v>
      </c>
    </row>
    <row r="1334" spans="1:37" x14ac:dyDescent="0.2">
      <c r="A1334">
        <v>-86</v>
      </c>
      <c r="B1334" s="10" t="s">
        <v>94</v>
      </c>
      <c r="C1334" s="11" t="s">
        <v>39</v>
      </c>
      <c r="D1334" s="15" t="s">
        <v>2635</v>
      </c>
      <c r="E1334" s="13">
        <v>8</v>
      </c>
      <c r="F1334" s="13">
        <v>11</v>
      </c>
      <c r="G1334" s="13">
        <f t="shared" si="55"/>
        <v>304</v>
      </c>
      <c r="H1334" s="13">
        <v>87</v>
      </c>
      <c r="I1334" s="14">
        <f t="shared" si="56"/>
        <v>-86.145205479452059</v>
      </c>
      <c r="J1334" s="26" t="s">
        <v>2637</v>
      </c>
      <c r="T1334" s="8"/>
    </row>
    <row r="1335" spans="1:37" x14ac:dyDescent="0.2">
      <c r="A1335">
        <v>-86</v>
      </c>
      <c r="B1335" s="10" t="s">
        <v>94</v>
      </c>
      <c r="C1335" s="11" t="s">
        <v>2580</v>
      </c>
      <c r="D1335" s="25" t="s">
        <v>2635</v>
      </c>
      <c r="E1335" s="13">
        <v>8</v>
      </c>
      <c r="F1335" s="13">
        <v>11</v>
      </c>
      <c r="G1335" s="13">
        <f t="shared" si="55"/>
        <v>304</v>
      </c>
      <c r="H1335" s="13">
        <v>87</v>
      </c>
      <c r="I1335" s="14">
        <f t="shared" si="56"/>
        <v>-86.145205479452059</v>
      </c>
      <c r="J1335" s="7" t="s">
        <v>2638</v>
      </c>
      <c r="K1335" s="10">
        <v>32.75</v>
      </c>
      <c r="L1335" s="16">
        <v>32.75</v>
      </c>
      <c r="M1335" s="16">
        <f>1000/L1335</f>
        <v>30.534351145038169</v>
      </c>
      <c r="N1335" s="16">
        <f>8.33*M1335</f>
        <v>254.35114503816794</v>
      </c>
      <c r="O1335" s="16">
        <f>1.613*N1335</f>
        <v>410.26839694656491</v>
      </c>
      <c r="T1335" s="8"/>
    </row>
    <row r="1336" spans="1:37" x14ac:dyDescent="0.2">
      <c r="A1336">
        <v>-86</v>
      </c>
      <c r="B1336" s="10" t="s">
        <v>94</v>
      </c>
      <c r="C1336" s="11" t="s">
        <v>2639</v>
      </c>
      <c r="D1336" s="7" t="s">
        <v>2640</v>
      </c>
      <c r="E1336" s="13">
        <v>14</v>
      </c>
      <c r="F1336" s="13">
        <v>11</v>
      </c>
      <c r="G1336" s="13">
        <f t="shared" si="55"/>
        <v>304</v>
      </c>
      <c r="H1336" s="13">
        <v>87</v>
      </c>
      <c r="I1336" s="14">
        <f t="shared" si="56"/>
        <v>-86.128767123287673</v>
      </c>
      <c r="J1336" s="7" t="s">
        <v>2641</v>
      </c>
      <c r="K1336" s="10">
        <v>34.125</v>
      </c>
      <c r="L1336" s="16">
        <v>34.125</v>
      </c>
      <c r="M1336" s="16">
        <f>1000/L1336</f>
        <v>29.304029304029303</v>
      </c>
      <c r="N1336" s="16">
        <f>8.33*M1336</f>
        <v>244.10256410256409</v>
      </c>
      <c r="O1336" s="16">
        <f>1.613*N1336</f>
        <v>393.73743589743589</v>
      </c>
      <c r="P1336" s="11"/>
      <c r="T1336" s="8"/>
    </row>
    <row r="1337" spans="1:37" x14ac:dyDescent="0.2">
      <c r="A1337">
        <v>-86</v>
      </c>
      <c r="B1337" s="10" t="s">
        <v>94</v>
      </c>
      <c r="C1337" s="11" t="s">
        <v>42</v>
      </c>
      <c r="D1337" s="15" t="s">
        <v>2642</v>
      </c>
      <c r="E1337" s="13">
        <v>18</v>
      </c>
      <c r="F1337" s="13">
        <v>11</v>
      </c>
      <c r="G1337" s="13">
        <f t="shared" si="55"/>
        <v>304</v>
      </c>
      <c r="H1337" s="13">
        <v>87</v>
      </c>
      <c r="I1337" s="14">
        <f t="shared" si="56"/>
        <v>-86.117808219178087</v>
      </c>
      <c r="J1337" s="26" t="s">
        <v>2643</v>
      </c>
      <c r="P1337" s="11"/>
      <c r="T1337" s="8"/>
    </row>
    <row r="1338" spans="1:37" x14ac:dyDescent="0.2">
      <c r="A1338">
        <v>-86</v>
      </c>
      <c r="B1338" s="10" t="s">
        <v>94</v>
      </c>
      <c r="C1338" s="11" t="s">
        <v>1770</v>
      </c>
      <c r="D1338" s="7" t="s">
        <v>2644</v>
      </c>
      <c r="E1338" s="13">
        <v>23</v>
      </c>
      <c r="F1338" s="13">
        <v>11</v>
      </c>
      <c r="G1338" s="13">
        <f t="shared" si="55"/>
        <v>304</v>
      </c>
      <c r="H1338" s="13">
        <v>87</v>
      </c>
      <c r="I1338" s="14">
        <f t="shared" si="56"/>
        <v>-86.104109589041101</v>
      </c>
      <c r="J1338" s="7" t="s">
        <v>2645</v>
      </c>
      <c r="K1338" s="10">
        <v>36</v>
      </c>
      <c r="L1338" s="16">
        <v>36</v>
      </c>
      <c r="M1338" s="16">
        <f>1000/L1338</f>
        <v>27.777777777777779</v>
      </c>
      <c r="N1338" s="16">
        <f>8.33*M1338</f>
        <v>231.38888888888889</v>
      </c>
      <c r="O1338" s="16">
        <f>1.613*N1338</f>
        <v>373.23027777777776</v>
      </c>
      <c r="T1338" s="8"/>
    </row>
    <row r="1339" spans="1:37" x14ac:dyDescent="0.2">
      <c r="A1339">
        <v>-86</v>
      </c>
      <c r="B1339" s="10" t="s">
        <v>94</v>
      </c>
      <c r="C1339" s="11" t="s">
        <v>2646</v>
      </c>
      <c r="D1339" s="7" t="s">
        <v>2647</v>
      </c>
      <c r="E1339" s="13">
        <v>25</v>
      </c>
      <c r="F1339" s="13">
        <v>11</v>
      </c>
      <c r="G1339" s="13">
        <f t="shared" si="55"/>
        <v>304</v>
      </c>
      <c r="H1339" s="13">
        <v>87</v>
      </c>
      <c r="I1339" s="14">
        <f t="shared" si="56"/>
        <v>-86.098630136986301</v>
      </c>
      <c r="J1339" s="7"/>
      <c r="P1339" t="s">
        <v>41</v>
      </c>
      <c r="T1339" s="8"/>
    </row>
    <row r="1340" spans="1:37" x14ac:dyDescent="0.2">
      <c r="A1340">
        <v>-86</v>
      </c>
      <c r="B1340" s="10" t="s">
        <v>94</v>
      </c>
      <c r="C1340" s="11" t="s">
        <v>45</v>
      </c>
      <c r="D1340" s="15" t="s">
        <v>2648</v>
      </c>
      <c r="E1340" s="13">
        <v>28</v>
      </c>
      <c r="F1340" s="13">
        <v>11</v>
      </c>
      <c r="G1340" s="13">
        <f t="shared" si="55"/>
        <v>304</v>
      </c>
      <c r="H1340" s="13">
        <v>87</v>
      </c>
      <c r="I1340" s="14">
        <f t="shared" si="56"/>
        <v>-86.090410958904116</v>
      </c>
      <c r="J1340" s="26" t="s">
        <v>2636</v>
      </c>
      <c r="T1340" s="8"/>
    </row>
    <row r="1341" spans="1:37" x14ac:dyDescent="0.2">
      <c r="A1341">
        <v>-85</v>
      </c>
      <c r="B1341" s="10" t="s">
        <v>47</v>
      </c>
      <c r="D1341" s="15" t="s">
        <v>2649</v>
      </c>
      <c r="E1341" s="13">
        <v>5</v>
      </c>
      <c r="F1341" s="13">
        <v>5</v>
      </c>
      <c r="G1341" s="13">
        <f t="shared" si="55"/>
        <v>120</v>
      </c>
      <c r="H1341" s="13">
        <v>87</v>
      </c>
      <c r="I1341" s="14">
        <f t="shared" si="56"/>
        <v>-86.657534246575338</v>
      </c>
      <c r="J1341" s="26" t="s">
        <v>2650</v>
      </c>
      <c r="T1341" s="8"/>
    </row>
    <row r="1342" spans="1:37" x14ac:dyDescent="0.2">
      <c r="A1342">
        <v>-85</v>
      </c>
      <c r="B1342" s="10" t="s">
        <v>47</v>
      </c>
      <c r="C1342" s="11" t="s">
        <v>2651</v>
      </c>
      <c r="D1342" s="25" t="s">
        <v>2652</v>
      </c>
      <c r="E1342" s="13">
        <v>21</v>
      </c>
      <c r="F1342" s="13">
        <v>5</v>
      </c>
      <c r="G1342" s="13">
        <f t="shared" si="55"/>
        <v>120</v>
      </c>
      <c r="H1342" s="13">
        <v>87</v>
      </c>
      <c r="I1342" s="14">
        <f t="shared" si="56"/>
        <v>-86.61369863013698</v>
      </c>
      <c r="J1342" s="26" t="s">
        <v>2653</v>
      </c>
      <c r="K1342" s="10">
        <v>48</v>
      </c>
      <c r="L1342" s="16">
        <v>48</v>
      </c>
      <c r="M1342" s="16">
        <f>1000/L1342</f>
        <v>20.833333333333332</v>
      </c>
      <c r="N1342" s="16">
        <f>8.33*M1342</f>
        <v>173.54166666666666</v>
      </c>
      <c r="O1342" s="16">
        <f>1.613*N1342</f>
        <v>279.92270833333333</v>
      </c>
      <c r="T1342" s="8"/>
      <c r="AG1342" t="s">
        <v>41</v>
      </c>
      <c r="AH1342" s="17" t="s">
        <v>41</v>
      </c>
      <c r="AK1342" t="s">
        <v>2654</v>
      </c>
    </row>
    <row r="1343" spans="1:37" x14ac:dyDescent="0.2">
      <c r="A1343">
        <v>-85</v>
      </c>
      <c r="B1343" s="10" t="s">
        <v>72</v>
      </c>
      <c r="D1343" s="15" t="s">
        <v>2655</v>
      </c>
      <c r="E1343" s="13">
        <v>31</v>
      </c>
      <c r="F1343" s="13">
        <v>8</v>
      </c>
      <c r="G1343" s="13">
        <f t="shared" si="55"/>
        <v>212</v>
      </c>
      <c r="H1343" s="13">
        <v>86</v>
      </c>
      <c r="I1343" s="14">
        <f t="shared" si="56"/>
        <v>-85.334246575342462</v>
      </c>
      <c r="J1343" s="26" t="s">
        <v>2656</v>
      </c>
      <c r="T1343" s="8"/>
      <c r="AC1343" s="1">
        <v>9.5</v>
      </c>
      <c r="AD1343" s="9">
        <v>9.5</v>
      </c>
      <c r="AE1343" s="8">
        <f>1000/AD1343</f>
        <v>105.26315789473684</v>
      </c>
      <c r="AF1343" s="8">
        <f>8.33*AE1343</f>
        <v>876.8421052631578</v>
      </c>
      <c r="AG1343" s="1">
        <v>0.67</v>
      </c>
      <c r="AH1343" s="9">
        <v>0.67</v>
      </c>
      <c r="AI1343" s="8">
        <f>1/AH1343</f>
        <v>1.4925373134328357</v>
      </c>
      <c r="AJ1343" s="8">
        <f>8.33*AI1343</f>
        <v>12.432835820895521</v>
      </c>
    </row>
    <row r="1344" spans="1:37" x14ac:dyDescent="0.2">
      <c r="A1344">
        <v>-85</v>
      </c>
      <c r="B1344" s="10" t="s">
        <v>72</v>
      </c>
      <c r="C1344" s="11" t="s">
        <v>39</v>
      </c>
      <c r="D1344" s="15" t="s">
        <v>2655</v>
      </c>
      <c r="E1344" s="13">
        <v>31</v>
      </c>
      <c r="F1344" s="13">
        <v>8</v>
      </c>
      <c r="G1344" s="13">
        <f t="shared" si="55"/>
        <v>212</v>
      </c>
      <c r="H1344" s="13">
        <v>86</v>
      </c>
      <c r="I1344" s="14">
        <f t="shared" si="56"/>
        <v>-85.334246575342462</v>
      </c>
      <c r="J1344" s="26" t="s">
        <v>2657</v>
      </c>
      <c r="T1344" s="8"/>
    </row>
    <row r="1345" spans="1:32" x14ac:dyDescent="0.2">
      <c r="A1345">
        <v>-85</v>
      </c>
      <c r="B1345" s="10" t="s">
        <v>72</v>
      </c>
      <c r="C1345" s="11" t="s">
        <v>1628</v>
      </c>
      <c r="D1345" s="7" t="s">
        <v>2655</v>
      </c>
      <c r="E1345" s="13">
        <v>31</v>
      </c>
      <c r="F1345" s="13">
        <v>8</v>
      </c>
      <c r="G1345" s="13">
        <f t="shared" si="55"/>
        <v>212</v>
      </c>
      <c r="H1345" s="13">
        <v>86</v>
      </c>
      <c r="I1345" s="14">
        <f t="shared" si="56"/>
        <v>-85.334246575342462</v>
      </c>
      <c r="J1345" s="7" t="s">
        <v>2658</v>
      </c>
      <c r="P1345">
        <v>56.5</v>
      </c>
      <c r="Q1345" s="17">
        <v>56.5</v>
      </c>
      <c r="R1345" s="16">
        <f>1000/Q1345</f>
        <v>17.699115044247787</v>
      </c>
      <c r="S1345" s="16">
        <f>8.33*R1345</f>
        <v>147.43362831858406</v>
      </c>
      <c r="T1345" s="16">
        <f>S1345*1.33</f>
        <v>196.08672566371681</v>
      </c>
    </row>
    <row r="1346" spans="1:32" x14ac:dyDescent="0.2">
      <c r="A1346">
        <v>-85</v>
      </c>
      <c r="B1346" s="10" t="s">
        <v>72</v>
      </c>
      <c r="C1346" s="11" t="s">
        <v>42</v>
      </c>
      <c r="D1346" s="15" t="s">
        <v>2659</v>
      </c>
      <c r="E1346" s="13">
        <v>10</v>
      </c>
      <c r="F1346" s="13">
        <v>9</v>
      </c>
      <c r="G1346" s="13">
        <f t="shared" ref="G1346:G1409" si="57">INDEX(A$1502:A$1513,F1346)</f>
        <v>243</v>
      </c>
      <c r="H1346" s="13">
        <v>86</v>
      </c>
      <c r="I1346" s="14">
        <f t="shared" si="56"/>
        <v>-85.30684931506849</v>
      </c>
      <c r="J1346" s="26" t="s">
        <v>2660</v>
      </c>
      <c r="T1346" s="8"/>
    </row>
    <row r="1347" spans="1:32" x14ac:dyDescent="0.2">
      <c r="A1347">
        <v>-85</v>
      </c>
      <c r="B1347" s="10" t="s">
        <v>72</v>
      </c>
      <c r="C1347" s="11" t="s">
        <v>45</v>
      </c>
      <c r="D1347" s="15" t="s">
        <v>2661</v>
      </c>
      <c r="E1347" s="13">
        <v>20</v>
      </c>
      <c r="F1347" s="13">
        <v>9</v>
      </c>
      <c r="G1347" s="13">
        <f t="shared" si="57"/>
        <v>243</v>
      </c>
      <c r="H1347" s="13">
        <v>86</v>
      </c>
      <c r="I1347" s="14">
        <f t="shared" ref="I1347:I1410" si="58">($E1347+$G1347)/365-$H1347</f>
        <v>-85.279452054794518</v>
      </c>
      <c r="J1347" s="26" t="s">
        <v>2656</v>
      </c>
      <c r="K1347" s="10" t="s">
        <v>2662</v>
      </c>
      <c r="L1347" s="19">
        <v>50</v>
      </c>
      <c r="M1347" s="19">
        <f>1000/L1347</f>
        <v>20</v>
      </c>
      <c r="N1347" s="19">
        <f>8.33*M1347</f>
        <v>166.6</v>
      </c>
      <c r="O1347" s="19">
        <f>1.613*N1347</f>
        <v>268.72579999999999</v>
      </c>
      <c r="T1347" s="8"/>
    </row>
    <row r="1348" spans="1:32" x14ac:dyDescent="0.2">
      <c r="A1348">
        <v>-85</v>
      </c>
      <c r="B1348" s="10" t="s">
        <v>75</v>
      </c>
      <c r="C1348" s="11" t="s">
        <v>39</v>
      </c>
      <c r="D1348" s="15" t="s">
        <v>2663</v>
      </c>
      <c r="E1348" s="13">
        <v>27</v>
      </c>
      <c r="F1348" s="13">
        <v>12</v>
      </c>
      <c r="G1348" s="13">
        <f t="shared" si="57"/>
        <v>334</v>
      </c>
      <c r="H1348" s="13">
        <v>86</v>
      </c>
      <c r="I1348" s="14">
        <f t="shared" si="58"/>
        <v>-85.010958904109586</v>
      </c>
      <c r="J1348" s="26" t="s">
        <v>2664</v>
      </c>
      <c r="T1348" s="8"/>
    </row>
    <row r="1349" spans="1:32" x14ac:dyDescent="0.2">
      <c r="A1349">
        <v>-85</v>
      </c>
      <c r="B1349" s="10" t="s">
        <v>75</v>
      </c>
      <c r="C1349" s="11" t="s">
        <v>2514</v>
      </c>
      <c r="D1349" s="7" t="s">
        <v>2663</v>
      </c>
      <c r="E1349" s="13">
        <v>27</v>
      </c>
      <c r="F1349" s="13">
        <v>12</v>
      </c>
      <c r="G1349" s="13">
        <f t="shared" si="57"/>
        <v>334</v>
      </c>
      <c r="H1349" s="13">
        <v>86</v>
      </c>
      <c r="I1349" s="14">
        <f t="shared" si="58"/>
        <v>-85.010958904109586</v>
      </c>
      <c r="J1349" s="7" t="s">
        <v>2665</v>
      </c>
      <c r="T1349" s="8"/>
      <c r="AC1349">
        <v>9</v>
      </c>
      <c r="AD1349" s="17">
        <v>9</v>
      </c>
      <c r="AE1349" s="16">
        <f>1000/AD1349</f>
        <v>111.11111111111111</v>
      </c>
      <c r="AF1349" s="16">
        <f>8.33*AE1349</f>
        <v>925.55555555555554</v>
      </c>
    </row>
    <row r="1350" spans="1:32" x14ac:dyDescent="0.2">
      <c r="A1350">
        <v>-85</v>
      </c>
      <c r="B1350" s="10" t="s">
        <v>75</v>
      </c>
      <c r="C1350" s="11" t="s">
        <v>2666</v>
      </c>
      <c r="D1350" s="7" t="s">
        <v>2663</v>
      </c>
      <c r="E1350" s="13">
        <v>27</v>
      </c>
      <c r="F1350" s="13">
        <v>12</v>
      </c>
      <c r="G1350" s="13">
        <f t="shared" si="57"/>
        <v>334</v>
      </c>
      <c r="H1350" s="13">
        <v>86</v>
      </c>
      <c r="I1350" s="14">
        <f t="shared" si="58"/>
        <v>-85.010958904109586</v>
      </c>
      <c r="J1350" s="7" t="s">
        <v>2667</v>
      </c>
      <c r="K1350" s="10">
        <v>63.75</v>
      </c>
      <c r="L1350" s="16">
        <v>63.75</v>
      </c>
      <c r="M1350" s="16">
        <f>1000/L1350</f>
        <v>15.686274509803921</v>
      </c>
      <c r="N1350" s="16">
        <f>8.33*M1350</f>
        <v>130.66666666666666</v>
      </c>
      <c r="O1350" s="16">
        <f>1.613*N1350</f>
        <v>210.76533333333333</v>
      </c>
      <c r="T1350" s="8"/>
    </row>
    <row r="1351" spans="1:32" x14ac:dyDescent="0.2">
      <c r="A1351">
        <v>-85</v>
      </c>
      <c r="B1351" s="10" t="s">
        <v>75</v>
      </c>
      <c r="C1351" s="11" t="s">
        <v>2668</v>
      </c>
      <c r="D1351" s="7" t="s">
        <v>2669</v>
      </c>
      <c r="E1351" s="13">
        <v>31</v>
      </c>
      <c r="F1351" s="13">
        <v>12</v>
      </c>
      <c r="G1351" s="13">
        <f t="shared" si="57"/>
        <v>334</v>
      </c>
      <c r="H1351" s="13">
        <v>86</v>
      </c>
      <c r="I1351" s="14">
        <f t="shared" si="58"/>
        <v>-85</v>
      </c>
      <c r="J1351" s="7" t="s">
        <v>2670</v>
      </c>
      <c r="P1351" s="11" t="s">
        <v>2671</v>
      </c>
      <c r="Q1351" s="17">
        <v>46.625</v>
      </c>
      <c r="R1351" s="16">
        <f>1000/Q1351</f>
        <v>21.447721179624665</v>
      </c>
      <c r="S1351" s="16">
        <f>8.33*R1351</f>
        <v>178.65951742627345</v>
      </c>
      <c r="T1351" s="16">
        <f>S1351*1.33</f>
        <v>237.61715817694372</v>
      </c>
    </row>
    <row r="1352" spans="1:32" x14ac:dyDescent="0.2">
      <c r="A1352">
        <v>-85</v>
      </c>
      <c r="B1352" s="10" t="s">
        <v>75</v>
      </c>
      <c r="C1352" s="11" t="s">
        <v>1545</v>
      </c>
      <c r="D1352" s="7" t="s">
        <v>2665</v>
      </c>
      <c r="E1352" s="13">
        <v>2</v>
      </c>
      <c r="F1352" s="13">
        <v>1</v>
      </c>
      <c r="G1352" s="13">
        <f t="shared" si="57"/>
        <v>0</v>
      </c>
      <c r="H1352" s="13">
        <v>85</v>
      </c>
      <c r="I1352" s="14">
        <f t="shared" si="58"/>
        <v>-84.9945205479452</v>
      </c>
      <c r="J1352" s="7" t="s">
        <v>2672</v>
      </c>
      <c r="P1352">
        <v>48</v>
      </c>
      <c r="Q1352" s="17">
        <v>48</v>
      </c>
      <c r="R1352" s="16">
        <f>1000/Q1352</f>
        <v>20.833333333333332</v>
      </c>
      <c r="S1352" s="16">
        <f>8.33*R1352</f>
        <v>173.54166666666666</v>
      </c>
      <c r="T1352" s="16">
        <f>S1352*1.33</f>
        <v>230.81041666666667</v>
      </c>
    </row>
    <row r="1353" spans="1:32" x14ac:dyDescent="0.2">
      <c r="A1353">
        <v>-85</v>
      </c>
      <c r="B1353" s="10" t="s">
        <v>75</v>
      </c>
      <c r="C1353" s="11" t="s">
        <v>1868</v>
      </c>
      <c r="D1353" s="7" t="s">
        <v>2672</v>
      </c>
      <c r="E1353" s="13">
        <v>3</v>
      </c>
      <c r="F1353" s="13">
        <v>1</v>
      </c>
      <c r="G1353" s="13">
        <f t="shared" si="57"/>
        <v>0</v>
      </c>
      <c r="H1353" s="13">
        <v>85</v>
      </c>
      <c r="I1353" s="14">
        <f t="shared" si="58"/>
        <v>-84.991780821917814</v>
      </c>
      <c r="J1353" s="7" t="s">
        <v>2673</v>
      </c>
      <c r="AC1353">
        <v>8.5</v>
      </c>
      <c r="AD1353" s="17">
        <v>8.5</v>
      </c>
      <c r="AE1353" s="16">
        <f>1000/AD1353</f>
        <v>117.64705882352941</v>
      </c>
      <c r="AF1353" s="16">
        <f>8.33*AE1353</f>
        <v>980</v>
      </c>
    </row>
    <row r="1354" spans="1:32" x14ac:dyDescent="0.2">
      <c r="A1354">
        <v>-85</v>
      </c>
      <c r="B1354" s="10" t="s">
        <v>75</v>
      </c>
      <c r="C1354" s="11">
        <v>9</v>
      </c>
      <c r="D1354" s="7" t="s">
        <v>2674</v>
      </c>
      <c r="E1354" s="13">
        <v>4</v>
      </c>
      <c r="F1354" s="13">
        <v>1</v>
      </c>
      <c r="G1354" s="13">
        <f t="shared" si="57"/>
        <v>0</v>
      </c>
      <c r="H1354" s="13">
        <v>85</v>
      </c>
      <c r="I1354" s="14">
        <f t="shared" si="58"/>
        <v>-84.989041095890414</v>
      </c>
      <c r="J1354" s="7"/>
      <c r="P1354">
        <v>51.5</v>
      </c>
      <c r="Q1354" s="17">
        <v>51.5</v>
      </c>
      <c r="R1354" s="16">
        <f>1000/Q1354</f>
        <v>19.417475728155338</v>
      </c>
      <c r="S1354" s="16">
        <f>8.33*R1354</f>
        <v>161.74757281553397</v>
      </c>
      <c r="T1354" s="16">
        <f>S1354*1.33</f>
        <v>215.1242718446602</v>
      </c>
    </row>
    <row r="1355" spans="1:32" x14ac:dyDescent="0.2">
      <c r="A1355">
        <v>-85</v>
      </c>
      <c r="B1355" s="10" t="s">
        <v>75</v>
      </c>
      <c r="C1355" s="11">
        <v>10</v>
      </c>
      <c r="D1355" s="7" t="s">
        <v>2673</v>
      </c>
      <c r="E1355" s="13">
        <v>5</v>
      </c>
      <c r="F1355" s="13">
        <v>1</v>
      </c>
      <c r="G1355" s="13">
        <f t="shared" si="57"/>
        <v>0</v>
      </c>
      <c r="H1355" s="13">
        <v>85</v>
      </c>
      <c r="I1355" s="14">
        <f t="shared" si="58"/>
        <v>-84.986301369863014</v>
      </c>
      <c r="J1355" s="7"/>
      <c r="P1355">
        <v>54</v>
      </c>
      <c r="Q1355" s="17">
        <v>54</v>
      </c>
      <c r="R1355" s="16">
        <f>1000/Q1355</f>
        <v>18.518518518518519</v>
      </c>
      <c r="S1355" s="16">
        <f>8.33*R1355</f>
        <v>154.25925925925927</v>
      </c>
      <c r="T1355" s="16">
        <f>S1355*1.33</f>
        <v>205.16481481481483</v>
      </c>
    </row>
    <row r="1356" spans="1:32" x14ac:dyDescent="0.2">
      <c r="A1356">
        <v>-85</v>
      </c>
      <c r="B1356" s="10" t="s">
        <v>75</v>
      </c>
      <c r="C1356" s="11">
        <v>11</v>
      </c>
      <c r="D1356" s="7" t="s">
        <v>2675</v>
      </c>
      <c r="E1356" s="13">
        <v>6</v>
      </c>
      <c r="F1356" s="13">
        <v>1</v>
      </c>
      <c r="G1356" s="13">
        <f t="shared" si="57"/>
        <v>0</v>
      </c>
      <c r="H1356" s="13">
        <v>85</v>
      </c>
      <c r="I1356" s="14">
        <f t="shared" si="58"/>
        <v>-84.983561643835614</v>
      </c>
      <c r="J1356" s="7"/>
      <c r="P1356">
        <v>51.5</v>
      </c>
      <c r="Q1356" s="17">
        <v>51.5</v>
      </c>
      <c r="R1356" s="16">
        <f>1000/Q1356</f>
        <v>19.417475728155338</v>
      </c>
      <c r="S1356" s="16">
        <f>8.33*R1356</f>
        <v>161.74757281553397</v>
      </c>
      <c r="T1356" s="16">
        <f>S1356*1.33</f>
        <v>215.1242718446602</v>
      </c>
    </row>
    <row r="1357" spans="1:32" x14ac:dyDescent="0.2">
      <c r="A1357">
        <v>-85</v>
      </c>
      <c r="B1357" s="10" t="s">
        <v>75</v>
      </c>
      <c r="C1357" s="11" t="s">
        <v>42</v>
      </c>
      <c r="D1357" s="26" t="s">
        <v>2675</v>
      </c>
      <c r="E1357" s="13">
        <v>6</v>
      </c>
      <c r="F1357" s="13">
        <v>1</v>
      </c>
      <c r="G1357" s="13">
        <f t="shared" si="57"/>
        <v>0</v>
      </c>
      <c r="H1357" s="13">
        <v>85</v>
      </c>
      <c r="I1357" s="14">
        <f t="shared" si="58"/>
        <v>-84.983561643835614</v>
      </c>
      <c r="J1357" s="26" t="s">
        <v>2676</v>
      </c>
      <c r="T1357" s="8"/>
    </row>
    <row r="1358" spans="1:32" x14ac:dyDescent="0.2">
      <c r="A1358">
        <v>-85</v>
      </c>
      <c r="B1358" s="10" t="s">
        <v>75</v>
      </c>
      <c r="C1358" s="11" t="s">
        <v>2677</v>
      </c>
      <c r="D1358" s="7" t="s">
        <v>2675</v>
      </c>
      <c r="E1358" s="13">
        <v>6</v>
      </c>
      <c r="F1358" s="13">
        <v>1</v>
      </c>
      <c r="G1358" s="13">
        <f t="shared" si="57"/>
        <v>0</v>
      </c>
      <c r="H1358" s="13">
        <v>85</v>
      </c>
      <c r="I1358" s="14">
        <f t="shared" si="58"/>
        <v>-84.983561643835614</v>
      </c>
      <c r="J1358" s="7" t="s">
        <v>2678</v>
      </c>
      <c r="T1358" s="8"/>
      <c r="AC1358">
        <v>8</v>
      </c>
      <c r="AD1358" s="17">
        <v>8</v>
      </c>
      <c r="AE1358" s="16">
        <f>1000/AD1358</f>
        <v>125</v>
      </c>
      <c r="AF1358" s="16">
        <f>8.33*AE1358</f>
        <v>1041.25</v>
      </c>
    </row>
    <row r="1359" spans="1:32" x14ac:dyDescent="0.2">
      <c r="A1359">
        <v>-85</v>
      </c>
      <c r="B1359" s="10" t="s">
        <v>75</v>
      </c>
      <c r="C1359" s="11" t="s">
        <v>2346</v>
      </c>
      <c r="D1359" s="7" t="s">
        <v>2679</v>
      </c>
      <c r="E1359" s="13">
        <v>7</v>
      </c>
      <c r="F1359" s="13">
        <v>1</v>
      </c>
      <c r="G1359" s="13">
        <f t="shared" si="57"/>
        <v>0</v>
      </c>
      <c r="H1359" s="13">
        <v>85</v>
      </c>
      <c r="I1359" s="14">
        <f t="shared" si="58"/>
        <v>-84.980821917808214</v>
      </c>
      <c r="J1359" s="7" t="s">
        <v>2664</v>
      </c>
      <c r="P1359" t="s">
        <v>41</v>
      </c>
      <c r="T1359" s="8"/>
    </row>
    <row r="1360" spans="1:32" x14ac:dyDescent="0.2">
      <c r="A1360">
        <v>-85</v>
      </c>
      <c r="B1360" s="10" t="s">
        <v>75</v>
      </c>
      <c r="C1360" s="11" t="s">
        <v>1993</v>
      </c>
      <c r="D1360" s="7" t="s">
        <v>2680</v>
      </c>
      <c r="E1360" s="13">
        <v>9</v>
      </c>
      <c r="F1360" s="13">
        <v>1</v>
      </c>
      <c r="G1360" s="13">
        <f t="shared" si="57"/>
        <v>0</v>
      </c>
      <c r="H1360" s="13">
        <v>85</v>
      </c>
      <c r="I1360" s="14">
        <f t="shared" si="58"/>
        <v>-84.975342465753428</v>
      </c>
      <c r="J1360" s="7" t="s">
        <v>2676</v>
      </c>
      <c r="T1360" s="8"/>
      <c r="AC1360">
        <v>7.5</v>
      </c>
      <c r="AD1360" s="17">
        <v>7.5</v>
      </c>
      <c r="AE1360" s="16">
        <f>1000/AD1360</f>
        <v>133.33333333333334</v>
      </c>
      <c r="AF1360" s="16">
        <f>8.33*AE1360</f>
        <v>1110.6666666666667</v>
      </c>
    </row>
    <row r="1361" spans="1:37" x14ac:dyDescent="0.2">
      <c r="A1361">
        <v>-85</v>
      </c>
      <c r="B1361" s="10" t="s">
        <v>75</v>
      </c>
      <c r="C1361" s="11" t="s">
        <v>2058</v>
      </c>
      <c r="D1361" s="7" t="s">
        <v>2681</v>
      </c>
      <c r="E1361" s="13">
        <v>13</v>
      </c>
      <c r="F1361" s="13">
        <v>1</v>
      </c>
      <c r="G1361" s="13">
        <f t="shared" si="57"/>
        <v>0</v>
      </c>
      <c r="H1361" s="13">
        <v>85</v>
      </c>
      <c r="I1361" s="14">
        <f t="shared" si="58"/>
        <v>-84.964383561643842</v>
      </c>
      <c r="J1361" s="7" t="s">
        <v>2682</v>
      </c>
      <c r="K1361" s="10">
        <v>67.5</v>
      </c>
      <c r="L1361" s="16">
        <v>67.5</v>
      </c>
      <c r="M1361" s="16">
        <f>1000/L1361</f>
        <v>14.814814814814815</v>
      </c>
      <c r="N1361" s="16">
        <f>8.33*M1361</f>
        <v>123.4074074074074</v>
      </c>
      <c r="O1361" s="16">
        <f>1.613*N1361</f>
        <v>199.05614814814814</v>
      </c>
      <c r="T1361" s="8"/>
    </row>
    <row r="1362" spans="1:37" x14ac:dyDescent="0.2">
      <c r="A1362">
        <v>-85</v>
      </c>
      <c r="B1362" s="10" t="s">
        <v>75</v>
      </c>
      <c r="C1362" s="11" t="s">
        <v>45</v>
      </c>
      <c r="D1362" s="15" t="s">
        <v>2683</v>
      </c>
      <c r="E1362" s="13">
        <v>16</v>
      </c>
      <c r="F1362" s="13">
        <v>1</v>
      </c>
      <c r="G1362" s="13">
        <f t="shared" si="57"/>
        <v>0</v>
      </c>
      <c r="H1362" s="13">
        <v>85</v>
      </c>
      <c r="I1362" s="14">
        <f t="shared" si="58"/>
        <v>-84.956164383561642</v>
      </c>
      <c r="J1362" s="26" t="s">
        <v>2664</v>
      </c>
      <c r="T1362" s="8"/>
    </row>
    <row r="1363" spans="1:37" x14ac:dyDescent="0.2">
      <c r="A1363">
        <v>-85</v>
      </c>
      <c r="B1363" s="10" t="s">
        <v>75</v>
      </c>
      <c r="C1363" s="11" t="s">
        <v>1673</v>
      </c>
      <c r="D1363" s="7" t="s">
        <v>2683</v>
      </c>
      <c r="E1363" s="13">
        <v>16</v>
      </c>
      <c r="F1363" s="13">
        <v>1</v>
      </c>
      <c r="G1363" s="13">
        <f t="shared" si="57"/>
        <v>0</v>
      </c>
      <c r="H1363" s="13">
        <v>85</v>
      </c>
      <c r="I1363" s="14">
        <f t="shared" si="58"/>
        <v>-84.956164383561642</v>
      </c>
      <c r="J1363" s="7" t="s">
        <v>2684</v>
      </c>
      <c r="T1363" s="8"/>
      <c r="AC1363" t="s">
        <v>41</v>
      </c>
    </row>
    <row r="1364" spans="1:37" x14ac:dyDescent="0.2">
      <c r="A1364">
        <v>-85</v>
      </c>
      <c r="B1364" s="10" t="s">
        <v>127</v>
      </c>
      <c r="C1364" s="11" t="s">
        <v>39</v>
      </c>
      <c r="D1364" s="15" t="s">
        <v>2685</v>
      </c>
      <c r="E1364" s="13">
        <v>24</v>
      </c>
      <c r="F1364" s="13">
        <v>2</v>
      </c>
      <c r="G1364" s="13">
        <f t="shared" si="57"/>
        <v>31</v>
      </c>
      <c r="H1364" s="13">
        <v>85</v>
      </c>
      <c r="I1364" s="14">
        <f t="shared" si="58"/>
        <v>-84.849315068493155</v>
      </c>
      <c r="J1364" s="26" t="s">
        <v>2686</v>
      </c>
      <c r="T1364" s="8"/>
    </row>
    <row r="1365" spans="1:37" x14ac:dyDescent="0.2">
      <c r="A1365">
        <v>-85</v>
      </c>
      <c r="B1365" s="10" t="s">
        <v>127</v>
      </c>
      <c r="C1365" s="11" t="s">
        <v>2072</v>
      </c>
      <c r="D1365" s="7" t="s">
        <v>2685</v>
      </c>
      <c r="E1365" s="13">
        <v>24</v>
      </c>
      <c r="F1365" s="13">
        <v>2</v>
      </c>
      <c r="G1365" s="13">
        <f t="shared" si="57"/>
        <v>31</v>
      </c>
      <c r="H1365" s="13">
        <v>85</v>
      </c>
      <c r="I1365" s="14">
        <f t="shared" si="58"/>
        <v>-84.849315068493155</v>
      </c>
      <c r="J1365" s="7" t="s">
        <v>2687</v>
      </c>
      <c r="K1365" s="10">
        <v>67.5</v>
      </c>
      <c r="L1365" s="16">
        <v>67.5</v>
      </c>
      <c r="M1365" s="16">
        <f>1000/L1365</f>
        <v>14.814814814814815</v>
      </c>
      <c r="N1365" s="16">
        <f>8.33*M1365</f>
        <v>123.4074074074074</v>
      </c>
      <c r="O1365" s="16">
        <f>1.613*N1365</f>
        <v>199.05614814814814</v>
      </c>
      <c r="T1365" s="8"/>
    </row>
    <row r="1366" spans="1:37" x14ac:dyDescent="0.2">
      <c r="A1366">
        <v>-85</v>
      </c>
      <c r="B1366" s="10" t="s">
        <v>127</v>
      </c>
      <c r="C1366" s="11" t="s">
        <v>2688</v>
      </c>
      <c r="D1366" s="7" t="s">
        <v>2689</v>
      </c>
      <c r="E1366" s="13">
        <v>2</v>
      </c>
      <c r="F1366" s="13">
        <v>3</v>
      </c>
      <c r="G1366" s="13">
        <f t="shared" si="57"/>
        <v>59</v>
      </c>
      <c r="H1366" s="13">
        <v>85</v>
      </c>
      <c r="I1366" s="14">
        <f t="shared" si="58"/>
        <v>-84.832876712328769</v>
      </c>
      <c r="J1366" s="7" t="s">
        <v>2690</v>
      </c>
      <c r="K1366" s="10">
        <v>66</v>
      </c>
      <c r="L1366" s="16">
        <v>66</v>
      </c>
      <c r="M1366" s="16">
        <f>1000/L1366</f>
        <v>15.151515151515152</v>
      </c>
      <c r="N1366" s="16">
        <f>8.33*M1366</f>
        <v>126.21212121212122</v>
      </c>
      <c r="O1366" s="16">
        <f>1.613*N1366</f>
        <v>203.58015151515153</v>
      </c>
      <c r="T1366" s="8"/>
    </row>
    <row r="1367" spans="1:37" x14ac:dyDescent="0.2">
      <c r="A1367">
        <v>-85</v>
      </c>
      <c r="B1367" s="10" t="s">
        <v>127</v>
      </c>
      <c r="C1367" s="11" t="s">
        <v>2691</v>
      </c>
      <c r="D1367" s="33" t="s">
        <v>2685</v>
      </c>
      <c r="E1367" s="13">
        <v>24</v>
      </c>
      <c r="F1367" s="13">
        <v>2</v>
      </c>
      <c r="G1367" s="13">
        <f t="shared" si="57"/>
        <v>31</v>
      </c>
      <c r="H1367" s="13">
        <v>85</v>
      </c>
      <c r="I1367" s="14">
        <f t="shared" si="58"/>
        <v>-84.849315068493155</v>
      </c>
      <c r="J1367" s="7" t="s">
        <v>2689</v>
      </c>
      <c r="P1367" t="s">
        <v>2692</v>
      </c>
      <c r="Q1367" s="20">
        <v>46.5</v>
      </c>
      <c r="R1367" s="19">
        <f>1000/Q1367</f>
        <v>21.50537634408602</v>
      </c>
      <c r="S1367" s="19">
        <f>8.33*R1367</f>
        <v>179.13978494623655</v>
      </c>
      <c r="T1367" s="19">
        <f>S1367*1.33</f>
        <v>238.25591397849462</v>
      </c>
      <c r="AK1367" t="s">
        <v>2693</v>
      </c>
    </row>
    <row r="1368" spans="1:37" x14ac:dyDescent="0.2">
      <c r="A1368">
        <v>-85</v>
      </c>
      <c r="B1368" s="10" t="s">
        <v>127</v>
      </c>
      <c r="C1368" s="11" t="s">
        <v>1763</v>
      </c>
      <c r="D1368" s="7" t="s">
        <v>2694</v>
      </c>
      <c r="E1368" s="13">
        <v>3</v>
      </c>
      <c r="F1368" s="13">
        <v>3</v>
      </c>
      <c r="G1368" s="13">
        <f t="shared" si="57"/>
        <v>59</v>
      </c>
      <c r="H1368" s="13">
        <v>85</v>
      </c>
      <c r="I1368" s="14">
        <f t="shared" si="58"/>
        <v>-84.830136986301369</v>
      </c>
      <c r="J1368" s="7" t="s">
        <v>2695</v>
      </c>
      <c r="P1368">
        <v>46</v>
      </c>
      <c r="Q1368" s="17">
        <v>46</v>
      </c>
      <c r="R1368" s="16">
        <f>1000/Q1368</f>
        <v>21.739130434782609</v>
      </c>
      <c r="S1368" s="16">
        <f>8.33*R1368</f>
        <v>181.08695652173913</v>
      </c>
      <c r="T1368" s="16">
        <f>S1368*1.33</f>
        <v>240.84565217391304</v>
      </c>
    </row>
    <row r="1369" spans="1:37" x14ac:dyDescent="0.2">
      <c r="A1369">
        <v>-85</v>
      </c>
      <c r="B1369" s="10" t="s">
        <v>127</v>
      </c>
      <c r="C1369" s="11" t="s">
        <v>2696</v>
      </c>
      <c r="D1369" s="7" t="s">
        <v>2686</v>
      </c>
      <c r="E1369" s="13">
        <v>5</v>
      </c>
      <c r="F1369" s="13">
        <v>3</v>
      </c>
      <c r="G1369" s="13">
        <f t="shared" si="57"/>
        <v>59</v>
      </c>
      <c r="H1369" s="13">
        <v>85</v>
      </c>
      <c r="I1369" s="14">
        <f t="shared" si="58"/>
        <v>-84.824657534246569</v>
      </c>
      <c r="J1369" s="7"/>
      <c r="K1369" s="10" t="s">
        <v>41</v>
      </c>
    </row>
    <row r="1370" spans="1:37" x14ac:dyDescent="0.2">
      <c r="A1370">
        <v>-85</v>
      </c>
      <c r="B1370" s="10" t="s">
        <v>127</v>
      </c>
      <c r="C1370" s="11" t="s">
        <v>42</v>
      </c>
      <c r="D1370" s="26" t="s">
        <v>2697</v>
      </c>
      <c r="E1370" s="13">
        <v>6</v>
      </c>
      <c r="F1370" s="13">
        <v>3</v>
      </c>
      <c r="G1370" s="13">
        <f t="shared" si="57"/>
        <v>59</v>
      </c>
      <c r="H1370" s="13">
        <v>85</v>
      </c>
      <c r="I1370" s="14">
        <f t="shared" si="58"/>
        <v>-84.821917808219183</v>
      </c>
      <c r="J1370" s="26" t="s">
        <v>2698</v>
      </c>
    </row>
    <row r="1371" spans="1:37" x14ac:dyDescent="0.2">
      <c r="A1371">
        <v>-85</v>
      </c>
      <c r="B1371" s="10" t="s">
        <v>127</v>
      </c>
      <c r="C1371" s="11" t="s">
        <v>2699</v>
      </c>
      <c r="D1371" s="7" t="s">
        <v>2700</v>
      </c>
      <c r="E1371" s="13">
        <v>11</v>
      </c>
      <c r="F1371" s="13">
        <v>3</v>
      </c>
      <c r="G1371" s="13">
        <f t="shared" si="57"/>
        <v>59</v>
      </c>
      <c r="H1371" s="13">
        <v>85</v>
      </c>
      <c r="I1371" s="14">
        <f t="shared" si="58"/>
        <v>-84.808219178082197</v>
      </c>
      <c r="J1371" s="7"/>
      <c r="P1371" t="s">
        <v>41</v>
      </c>
    </row>
    <row r="1372" spans="1:37" x14ac:dyDescent="0.2">
      <c r="A1372">
        <v>-85</v>
      </c>
      <c r="B1372" s="10" t="s">
        <v>127</v>
      </c>
      <c r="C1372" s="11" t="s">
        <v>45</v>
      </c>
      <c r="D1372" s="15" t="s">
        <v>2701</v>
      </c>
      <c r="E1372" s="13">
        <v>16</v>
      </c>
      <c r="F1372" s="13">
        <v>3</v>
      </c>
      <c r="G1372" s="13">
        <f t="shared" si="57"/>
        <v>59</v>
      </c>
      <c r="H1372" s="13">
        <v>85</v>
      </c>
      <c r="I1372" s="14">
        <f t="shared" si="58"/>
        <v>-84.794520547945211</v>
      </c>
      <c r="J1372" s="26" t="s">
        <v>2702</v>
      </c>
    </row>
    <row r="1373" spans="1:37" x14ac:dyDescent="0.2">
      <c r="A1373">
        <v>-83</v>
      </c>
      <c r="B1373" s="10" t="s">
        <v>65</v>
      </c>
      <c r="C1373" s="11" t="s">
        <v>2703</v>
      </c>
      <c r="D1373" s="25" t="s">
        <v>2704</v>
      </c>
      <c r="E1373" s="13">
        <v>10</v>
      </c>
      <c r="F1373" s="13">
        <v>6</v>
      </c>
      <c r="G1373" s="13">
        <f t="shared" si="57"/>
        <v>151</v>
      </c>
      <c r="H1373" s="13">
        <v>84</v>
      </c>
      <c r="I1373" s="14">
        <f t="shared" si="58"/>
        <v>-83.558904109589037</v>
      </c>
      <c r="J1373" s="25" t="s">
        <v>2705</v>
      </c>
      <c r="K1373" s="10">
        <v>29</v>
      </c>
      <c r="L1373" s="16">
        <v>29</v>
      </c>
      <c r="M1373" s="16">
        <f>1000/L1373</f>
        <v>34.482758620689658</v>
      </c>
      <c r="N1373" s="16">
        <f>8.33*M1373</f>
        <v>287.24137931034488</v>
      </c>
      <c r="O1373" s="16">
        <f>1.613*N1373</f>
        <v>463.32034482758627</v>
      </c>
      <c r="P1373" t="s">
        <v>2706</v>
      </c>
      <c r="Q1373" s="17">
        <v>34.25</v>
      </c>
      <c r="R1373" s="16">
        <f>1000/Q1373</f>
        <v>29.197080291970803</v>
      </c>
      <c r="S1373" s="16">
        <f>8.33*R1373</f>
        <v>243.2116788321168</v>
      </c>
      <c r="T1373" s="16">
        <f>S1373*1.33</f>
        <v>323.47153284671538</v>
      </c>
      <c r="AG1373" t="s">
        <v>41</v>
      </c>
      <c r="AH1373" s="17" t="s">
        <v>41</v>
      </c>
    </row>
    <row r="1374" spans="1:37" x14ac:dyDescent="0.2">
      <c r="A1374">
        <v>-83</v>
      </c>
      <c r="B1374" s="10" t="s">
        <v>65</v>
      </c>
      <c r="C1374" s="11" t="s">
        <v>2707</v>
      </c>
      <c r="D1374" s="25" t="s">
        <v>2708</v>
      </c>
      <c r="E1374" s="13">
        <v>20</v>
      </c>
      <c r="F1374" s="13">
        <v>6</v>
      </c>
      <c r="G1374" s="13">
        <f t="shared" si="57"/>
        <v>151</v>
      </c>
      <c r="H1374" s="13">
        <v>84</v>
      </c>
      <c r="I1374" s="14">
        <f t="shared" si="58"/>
        <v>-83.531506849315065</v>
      </c>
      <c r="J1374" s="7" t="s">
        <v>2709</v>
      </c>
      <c r="K1374" s="10">
        <v>30</v>
      </c>
      <c r="L1374" s="16">
        <v>30</v>
      </c>
      <c r="M1374" s="16">
        <f>1000/L1374</f>
        <v>33.333333333333336</v>
      </c>
      <c r="N1374" s="16">
        <f>8.33*M1374</f>
        <v>277.66666666666669</v>
      </c>
      <c r="O1374" s="16">
        <f>1.613*N1374</f>
        <v>447.87633333333338</v>
      </c>
    </row>
    <row r="1375" spans="1:37" x14ac:dyDescent="0.2">
      <c r="A1375">
        <v>-83</v>
      </c>
      <c r="B1375" s="10" t="s">
        <v>65</v>
      </c>
      <c r="C1375" s="11" t="s">
        <v>42</v>
      </c>
      <c r="D1375" s="15" t="s">
        <v>2708</v>
      </c>
      <c r="E1375" s="13">
        <v>20</v>
      </c>
      <c r="F1375" s="13">
        <v>6</v>
      </c>
      <c r="G1375" s="13">
        <f t="shared" si="57"/>
        <v>151</v>
      </c>
      <c r="H1375" s="13">
        <v>84</v>
      </c>
      <c r="I1375" s="14">
        <f t="shared" si="58"/>
        <v>-83.531506849315065</v>
      </c>
      <c r="J1375" s="26" t="s">
        <v>2710</v>
      </c>
    </row>
    <row r="1376" spans="1:37" x14ac:dyDescent="0.2">
      <c r="A1376">
        <v>-83</v>
      </c>
      <c r="B1376" s="10" t="s">
        <v>65</v>
      </c>
      <c r="C1376" s="11" t="s">
        <v>1523</v>
      </c>
      <c r="D1376" s="7" t="s">
        <v>2711</v>
      </c>
      <c r="E1376" s="13">
        <v>24</v>
      </c>
      <c r="F1376" s="13">
        <v>6</v>
      </c>
      <c r="G1376" s="13">
        <f t="shared" si="57"/>
        <v>151</v>
      </c>
      <c r="H1376" s="13">
        <v>84</v>
      </c>
      <c r="I1376" s="14">
        <f t="shared" si="58"/>
        <v>-83.520547945205479</v>
      </c>
      <c r="J1376" s="7" t="s">
        <v>2710</v>
      </c>
      <c r="K1376" s="10">
        <v>31.5</v>
      </c>
      <c r="L1376" s="16">
        <v>31.5</v>
      </c>
      <c r="M1376" s="16">
        <f>1000/L1376</f>
        <v>31.746031746031747</v>
      </c>
      <c r="N1376" s="16">
        <f>8.33*M1376</f>
        <v>264.44444444444446</v>
      </c>
      <c r="O1376" s="16">
        <f>1.613*N1376</f>
        <v>426.54888888888888</v>
      </c>
    </row>
    <row r="1377" spans="1:37" x14ac:dyDescent="0.2">
      <c r="A1377">
        <v>-83</v>
      </c>
      <c r="B1377" s="10" t="s">
        <v>65</v>
      </c>
      <c r="C1377" s="11" t="s">
        <v>45</v>
      </c>
      <c r="D1377" s="15" t="s">
        <v>2712</v>
      </c>
      <c r="E1377" s="13">
        <v>30</v>
      </c>
      <c r="F1377" s="13">
        <v>6</v>
      </c>
      <c r="G1377" s="13">
        <f t="shared" si="57"/>
        <v>151</v>
      </c>
      <c r="H1377" s="13">
        <v>84</v>
      </c>
      <c r="I1377" s="14">
        <f t="shared" si="58"/>
        <v>-83.504109589041093</v>
      </c>
      <c r="J1377" s="26" t="s">
        <v>2713</v>
      </c>
    </row>
    <row r="1378" spans="1:37" x14ac:dyDescent="0.2">
      <c r="A1378">
        <v>-83</v>
      </c>
      <c r="B1378" s="10" t="s">
        <v>65</v>
      </c>
      <c r="C1378" s="11" t="s">
        <v>2714</v>
      </c>
      <c r="D1378" s="7" t="s">
        <v>2712</v>
      </c>
      <c r="E1378" s="13">
        <v>30</v>
      </c>
      <c r="F1378" s="13">
        <v>6</v>
      </c>
      <c r="G1378" s="13">
        <f t="shared" si="57"/>
        <v>151</v>
      </c>
      <c r="H1378" s="13">
        <v>84</v>
      </c>
      <c r="I1378" s="14">
        <f t="shared" si="58"/>
        <v>-83.504109589041093</v>
      </c>
      <c r="J1378" s="7" t="s">
        <v>2715</v>
      </c>
      <c r="K1378" s="10">
        <v>30</v>
      </c>
      <c r="L1378" s="16">
        <v>30</v>
      </c>
      <c r="M1378" s="16">
        <f>1000/L1378</f>
        <v>33.333333333333336</v>
      </c>
      <c r="N1378" s="16">
        <f>8.33*M1378</f>
        <v>277.66666666666669</v>
      </c>
      <c r="O1378" s="16">
        <f>1.613*N1378</f>
        <v>447.87633333333338</v>
      </c>
    </row>
    <row r="1379" spans="1:37" x14ac:dyDescent="0.2">
      <c r="A1379">
        <v>-83</v>
      </c>
      <c r="B1379" s="10" t="s">
        <v>65</v>
      </c>
      <c r="C1379" s="11" t="s">
        <v>1782</v>
      </c>
      <c r="D1379" s="7" t="s">
        <v>2716</v>
      </c>
      <c r="E1379" s="13">
        <v>4</v>
      </c>
      <c r="F1379" s="13">
        <v>7</v>
      </c>
      <c r="G1379" s="13">
        <f t="shared" si="57"/>
        <v>181</v>
      </c>
      <c r="H1379" s="13">
        <v>84</v>
      </c>
      <c r="I1379" s="14">
        <f t="shared" si="58"/>
        <v>-83.493150684931507</v>
      </c>
      <c r="J1379" s="7" t="s">
        <v>2713</v>
      </c>
      <c r="K1379" s="10" t="s">
        <v>41</v>
      </c>
    </row>
    <row r="1380" spans="1:37" x14ac:dyDescent="0.2">
      <c r="A1380">
        <v>-83</v>
      </c>
      <c r="B1380" s="10" t="s">
        <v>65</v>
      </c>
      <c r="C1380" s="11" t="s">
        <v>2717</v>
      </c>
      <c r="D1380" s="25" t="s">
        <v>2718</v>
      </c>
      <c r="E1380" s="13">
        <v>6</v>
      </c>
      <c r="F1380" s="13">
        <v>7</v>
      </c>
      <c r="G1380" s="13">
        <f t="shared" si="57"/>
        <v>181</v>
      </c>
      <c r="H1380" s="13">
        <v>84</v>
      </c>
      <c r="I1380" s="14">
        <f t="shared" si="58"/>
        <v>-83.487671232876707</v>
      </c>
      <c r="J1380" s="7" t="s">
        <v>2719</v>
      </c>
      <c r="P1380">
        <v>32.75</v>
      </c>
      <c r="Q1380" s="17">
        <v>32.75</v>
      </c>
      <c r="R1380" s="16">
        <f>1000/Q1380</f>
        <v>30.534351145038169</v>
      </c>
      <c r="S1380" s="16">
        <f>8.33*R1380</f>
        <v>254.35114503816794</v>
      </c>
      <c r="T1380" s="16">
        <f>S1380*1.33</f>
        <v>338.28702290076336</v>
      </c>
    </row>
    <row r="1381" spans="1:37" x14ac:dyDescent="0.2">
      <c r="A1381">
        <v>-83</v>
      </c>
      <c r="B1381" s="10" t="s">
        <v>65</v>
      </c>
      <c r="C1381" s="11" t="s">
        <v>2219</v>
      </c>
      <c r="D1381" s="7" t="s">
        <v>2720</v>
      </c>
      <c r="E1381" s="13">
        <v>8</v>
      </c>
      <c r="F1381" s="13">
        <v>7</v>
      </c>
      <c r="G1381" s="13">
        <f t="shared" si="57"/>
        <v>181</v>
      </c>
      <c r="H1381" s="13">
        <v>84</v>
      </c>
      <c r="I1381" s="14">
        <f t="shared" si="58"/>
        <v>-83.482191780821921</v>
      </c>
      <c r="J1381" s="7" t="s">
        <v>2713</v>
      </c>
      <c r="P1381" t="s">
        <v>1023</v>
      </c>
      <c r="Q1381" s="20"/>
      <c r="T1381" s="8"/>
    </row>
    <row r="1382" spans="1:37" x14ac:dyDescent="0.2">
      <c r="A1382">
        <v>-83</v>
      </c>
      <c r="B1382" s="10" t="s">
        <v>130</v>
      </c>
      <c r="C1382" s="11" t="s">
        <v>39</v>
      </c>
      <c r="D1382" s="15" t="s">
        <v>2721</v>
      </c>
      <c r="E1382" s="13">
        <v>10</v>
      </c>
      <c r="F1382" s="13">
        <v>7</v>
      </c>
      <c r="G1382" s="13">
        <f t="shared" si="57"/>
        <v>181</v>
      </c>
      <c r="H1382" s="13">
        <v>84</v>
      </c>
      <c r="I1382" s="14">
        <f t="shared" si="58"/>
        <v>-83.476712328767121</v>
      </c>
      <c r="J1382" s="26" t="s">
        <v>2722</v>
      </c>
      <c r="T1382" s="8"/>
      <c r="U1382" t="s">
        <v>41</v>
      </c>
    </row>
    <row r="1383" spans="1:37" x14ac:dyDescent="0.2">
      <c r="A1383">
        <v>-83</v>
      </c>
      <c r="B1383" s="10" t="s">
        <v>130</v>
      </c>
      <c r="C1383" s="11" t="s">
        <v>42</v>
      </c>
      <c r="D1383" s="15" t="s">
        <v>2723</v>
      </c>
      <c r="E1383" s="13">
        <v>20</v>
      </c>
      <c r="F1383" s="13">
        <v>7</v>
      </c>
      <c r="G1383" s="13">
        <f t="shared" si="57"/>
        <v>181</v>
      </c>
      <c r="H1383" s="13">
        <v>84</v>
      </c>
      <c r="I1383" s="14">
        <f t="shared" si="58"/>
        <v>-83.449315068493149</v>
      </c>
      <c r="J1383" s="26" t="s">
        <v>2724</v>
      </c>
      <c r="T1383" s="8"/>
    </row>
    <row r="1384" spans="1:37" x14ac:dyDescent="0.2">
      <c r="A1384">
        <v>-83</v>
      </c>
      <c r="B1384" s="10" t="s">
        <v>130</v>
      </c>
      <c r="C1384" s="11" t="s">
        <v>2725</v>
      </c>
      <c r="D1384" s="25" t="s">
        <v>2721</v>
      </c>
      <c r="E1384" s="13">
        <v>10</v>
      </c>
      <c r="F1384" s="13">
        <v>7</v>
      </c>
      <c r="G1384" s="13">
        <f t="shared" si="57"/>
        <v>181</v>
      </c>
      <c r="H1384" s="13">
        <v>84</v>
      </c>
      <c r="I1384" s="14">
        <f t="shared" si="58"/>
        <v>-83.476712328767121</v>
      </c>
      <c r="J1384" s="7" t="s">
        <v>2726</v>
      </c>
      <c r="K1384" s="10">
        <v>28.75</v>
      </c>
      <c r="L1384" s="16">
        <v>28.75</v>
      </c>
      <c r="M1384" s="16">
        <f>1000/L1384</f>
        <v>34.782608695652172</v>
      </c>
      <c r="N1384" s="16">
        <f>8.33*M1384</f>
        <v>289.73913043478262</v>
      </c>
      <c r="O1384" s="16">
        <f>1.613*N1384</f>
        <v>467.34921739130436</v>
      </c>
      <c r="T1384" s="8"/>
    </row>
    <row r="1385" spans="1:37" x14ac:dyDescent="0.2">
      <c r="A1385">
        <v>-83</v>
      </c>
      <c r="B1385" s="10" t="s">
        <v>130</v>
      </c>
      <c r="C1385" s="11" t="s">
        <v>45</v>
      </c>
      <c r="D1385" s="15" t="s">
        <v>2727</v>
      </c>
      <c r="E1385" s="13">
        <v>30</v>
      </c>
      <c r="F1385" s="13">
        <v>7</v>
      </c>
      <c r="G1385" s="13">
        <f t="shared" si="57"/>
        <v>181</v>
      </c>
      <c r="H1385" s="13">
        <v>84</v>
      </c>
      <c r="I1385" s="14">
        <f t="shared" si="58"/>
        <v>-83.421917808219177</v>
      </c>
      <c r="J1385" s="26" t="s">
        <v>2728</v>
      </c>
      <c r="P1385" s="24">
        <v>33</v>
      </c>
      <c r="Q1385" s="20">
        <v>33</v>
      </c>
      <c r="R1385" s="19">
        <f>1000/Q1385</f>
        <v>30.303030303030305</v>
      </c>
      <c r="S1385" s="19">
        <f>8.33*R1385</f>
        <v>252.42424242424244</v>
      </c>
      <c r="T1385" s="19">
        <f>S1385*1.33</f>
        <v>335.72424242424245</v>
      </c>
    </row>
    <row r="1386" spans="1:37" x14ac:dyDescent="0.2">
      <c r="A1386">
        <v>-82</v>
      </c>
      <c r="B1386" s="10" t="s">
        <v>60</v>
      </c>
      <c r="D1386" s="15" t="s">
        <v>2729</v>
      </c>
      <c r="E1386" s="13">
        <v>2</v>
      </c>
      <c r="F1386" s="13">
        <v>4</v>
      </c>
      <c r="G1386" s="13">
        <f t="shared" si="57"/>
        <v>90</v>
      </c>
      <c r="H1386" s="13">
        <v>83</v>
      </c>
      <c r="I1386" s="14">
        <f t="shared" si="58"/>
        <v>-82.747945205479454</v>
      </c>
      <c r="J1386" s="26" t="s">
        <v>2730</v>
      </c>
      <c r="T1386" s="8"/>
      <c r="U1386" s="1">
        <v>270</v>
      </c>
      <c r="V1386" s="9">
        <v>270</v>
      </c>
      <c r="W1386" s="8">
        <f>1000/V1386</f>
        <v>3.7037037037037037</v>
      </c>
      <c r="X1386" s="8">
        <f>8.33*W1386</f>
        <v>30.851851851851851</v>
      </c>
      <c r="AG1386" s="1">
        <v>0.67</v>
      </c>
      <c r="AH1386" s="9">
        <v>0.67</v>
      </c>
      <c r="AI1386" s="8">
        <f>1/AH1386</f>
        <v>1.4925373134328357</v>
      </c>
      <c r="AJ1386" s="8">
        <f>8.33*AI1386</f>
        <v>12.432835820895521</v>
      </c>
    </row>
    <row r="1387" spans="1:37" x14ac:dyDescent="0.2">
      <c r="A1387">
        <v>-82</v>
      </c>
      <c r="B1387" s="10" t="s">
        <v>60</v>
      </c>
      <c r="C1387" s="11" t="s">
        <v>39</v>
      </c>
      <c r="D1387" s="15" t="s">
        <v>2729</v>
      </c>
      <c r="E1387" s="13">
        <v>2</v>
      </c>
      <c r="F1387" s="13">
        <v>4</v>
      </c>
      <c r="G1387" s="13">
        <f t="shared" si="57"/>
        <v>90</v>
      </c>
      <c r="H1387" s="13">
        <v>83</v>
      </c>
      <c r="I1387" s="14">
        <f t="shared" si="58"/>
        <v>-82.747945205479454</v>
      </c>
      <c r="J1387" s="26" t="s">
        <v>2731</v>
      </c>
      <c r="T1387" s="8"/>
    </row>
    <row r="1388" spans="1:37" x14ac:dyDescent="0.2">
      <c r="A1388">
        <v>-82</v>
      </c>
      <c r="B1388" s="10" t="s">
        <v>60</v>
      </c>
      <c r="C1388" s="11" t="s">
        <v>2732</v>
      </c>
      <c r="D1388" s="25" t="s">
        <v>2729</v>
      </c>
      <c r="E1388" s="13">
        <v>2</v>
      </c>
      <c r="F1388" s="13">
        <v>4</v>
      </c>
      <c r="G1388" s="13">
        <f t="shared" si="57"/>
        <v>90</v>
      </c>
      <c r="H1388" s="13">
        <v>83</v>
      </c>
      <c r="I1388" s="14">
        <f t="shared" si="58"/>
        <v>-82.747945205479454</v>
      </c>
      <c r="J1388" s="7" t="s">
        <v>2733</v>
      </c>
      <c r="P1388">
        <v>19</v>
      </c>
      <c r="Q1388" s="17">
        <v>19</v>
      </c>
      <c r="R1388" s="16">
        <f>1000/Q1388</f>
        <v>52.631578947368418</v>
      </c>
      <c r="S1388" s="16">
        <f>8.33*R1388</f>
        <v>438.4210526315789</v>
      </c>
      <c r="T1388" s="16">
        <f>S1388*1.33</f>
        <v>583.1</v>
      </c>
    </row>
    <row r="1389" spans="1:37" x14ac:dyDescent="0.2">
      <c r="A1389">
        <v>-82</v>
      </c>
      <c r="B1389" s="10" t="s">
        <v>60</v>
      </c>
      <c r="C1389" s="11" t="s">
        <v>2734</v>
      </c>
      <c r="D1389" s="7" t="s">
        <v>2735</v>
      </c>
      <c r="E1389" s="13">
        <v>8</v>
      </c>
      <c r="F1389" s="13">
        <v>4</v>
      </c>
      <c r="G1389" s="13">
        <f t="shared" si="57"/>
        <v>90</v>
      </c>
      <c r="H1389" s="13">
        <v>83</v>
      </c>
      <c r="I1389" s="14">
        <f t="shared" si="58"/>
        <v>-82.731506849315068</v>
      </c>
      <c r="J1389" s="7" t="s">
        <v>2731</v>
      </c>
      <c r="P1389" t="s">
        <v>41</v>
      </c>
      <c r="T1389" s="8"/>
    </row>
    <row r="1390" spans="1:37" x14ac:dyDescent="0.2">
      <c r="A1390">
        <v>-82</v>
      </c>
      <c r="B1390" s="10" t="s">
        <v>60</v>
      </c>
      <c r="C1390" s="11" t="s">
        <v>2725</v>
      </c>
      <c r="D1390" s="25" t="s">
        <v>2729</v>
      </c>
      <c r="E1390" s="13">
        <v>2</v>
      </c>
      <c r="F1390" s="13">
        <v>4</v>
      </c>
      <c r="G1390" s="13">
        <f t="shared" si="57"/>
        <v>90</v>
      </c>
      <c r="H1390" s="13">
        <v>83</v>
      </c>
      <c r="I1390" s="14">
        <f t="shared" si="58"/>
        <v>-82.747945205479454</v>
      </c>
      <c r="J1390" s="7" t="s">
        <v>2735</v>
      </c>
      <c r="K1390" s="10" t="s">
        <v>2736</v>
      </c>
      <c r="L1390" s="19">
        <v>6.5</v>
      </c>
      <c r="M1390" s="19">
        <f>1000/L1390</f>
        <v>153.84615384615384</v>
      </c>
      <c r="N1390" s="19">
        <f>8.33*M1390</f>
        <v>1281.5384615384614</v>
      </c>
      <c r="O1390" s="19">
        <f>1.613*N1390</f>
        <v>2067.1215384615384</v>
      </c>
      <c r="T1390" s="8"/>
    </row>
    <row r="1391" spans="1:37" x14ac:dyDescent="0.2">
      <c r="A1391">
        <v>-82</v>
      </c>
      <c r="B1391" s="10" t="s">
        <v>60</v>
      </c>
      <c r="C1391" s="11" t="s">
        <v>1868</v>
      </c>
      <c r="D1391" s="7" t="s">
        <v>2737</v>
      </c>
      <c r="E1391" s="13">
        <v>9</v>
      </c>
      <c r="F1391" s="13">
        <v>4</v>
      </c>
      <c r="G1391" s="13">
        <f t="shared" si="57"/>
        <v>90</v>
      </c>
      <c r="H1391" s="13">
        <v>83</v>
      </c>
      <c r="I1391" s="14">
        <f t="shared" si="58"/>
        <v>-82.728767123287668</v>
      </c>
      <c r="J1391" s="7" t="s">
        <v>2731</v>
      </c>
      <c r="K1391" s="10">
        <v>6</v>
      </c>
      <c r="L1391" s="16">
        <v>6</v>
      </c>
      <c r="M1391" s="16">
        <f>1000/L1391</f>
        <v>166.66666666666666</v>
      </c>
      <c r="N1391" s="16">
        <f>8.33*M1391</f>
        <v>1388.3333333333333</v>
      </c>
      <c r="O1391" s="16">
        <f>1.613*N1391</f>
        <v>2239.3816666666667</v>
      </c>
      <c r="T1391" s="8"/>
    </row>
    <row r="1392" spans="1:37" x14ac:dyDescent="0.2">
      <c r="A1392">
        <v>-82</v>
      </c>
      <c r="B1392" s="10" t="s">
        <v>60</v>
      </c>
      <c r="C1392" s="11" t="s">
        <v>2677</v>
      </c>
      <c r="D1392" s="7" t="s">
        <v>2738</v>
      </c>
      <c r="E1392" s="13">
        <v>12</v>
      </c>
      <c r="F1392" s="13">
        <v>4</v>
      </c>
      <c r="G1392" s="13">
        <f t="shared" si="57"/>
        <v>90</v>
      </c>
      <c r="H1392" s="13">
        <v>83</v>
      </c>
      <c r="I1392" s="14">
        <f t="shared" si="58"/>
        <v>-82.720547945205482</v>
      </c>
      <c r="J1392" s="7" t="s">
        <v>2739</v>
      </c>
      <c r="K1392" s="10" t="s">
        <v>41</v>
      </c>
      <c r="T1392" s="8"/>
      <c r="AK1392" t="s">
        <v>2740</v>
      </c>
    </row>
    <row r="1393" spans="1:37" x14ac:dyDescent="0.2">
      <c r="A1393">
        <v>-82</v>
      </c>
      <c r="B1393" s="10" t="s">
        <v>60</v>
      </c>
      <c r="C1393" s="27" t="s">
        <v>2677</v>
      </c>
      <c r="D1393" s="25" t="s">
        <v>2738</v>
      </c>
      <c r="E1393" s="13">
        <v>12</v>
      </c>
      <c r="F1393" s="13">
        <v>4</v>
      </c>
      <c r="G1393" s="13">
        <f t="shared" si="57"/>
        <v>90</v>
      </c>
      <c r="H1393" s="13">
        <v>83</v>
      </c>
      <c r="I1393" s="14">
        <f t="shared" si="58"/>
        <v>-82.720547945205482</v>
      </c>
      <c r="J1393" s="33" t="s">
        <v>2739</v>
      </c>
      <c r="K1393" s="10">
        <v>3.5</v>
      </c>
      <c r="L1393" s="16">
        <v>3.5</v>
      </c>
      <c r="M1393" s="16">
        <f>1000/L1393</f>
        <v>285.71428571428572</v>
      </c>
      <c r="N1393" s="16">
        <f>8.33*M1393</f>
        <v>2380</v>
      </c>
      <c r="O1393" s="16">
        <f>1.613*N1393</f>
        <v>3838.94</v>
      </c>
      <c r="T1393" s="8"/>
      <c r="AK1393" t="s">
        <v>2741</v>
      </c>
    </row>
    <row r="1394" spans="1:37" x14ac:dyDescent="0.2">
      <c r="A1394">
        <v>-82</v>
      </c>
      <c r="B1394" s="10" t="s">
        <v>60</v>
      </c>
      <c r="C1394" s="11" t="s">
        <v>45</v>
      </c>
      <c r="D1394" s="15" t="s">
        <v>2742</v>
      </c>
      <c r="E1394" s="13">
        <v>22</v>
      </c>
      <c r="F1394" s="13">
        <v>4</v>
      </c>
      <c r="G1394" s="13">
        <f t="shared" si="57"/>
        <v>90</v>
      </c>
      <c r="H1394" s="13">
        <v>83</v>
      </c>
      <c r="I1394" s="14">
        <f t="shared" si="58"/>
        <v>-82.69315068493151</v>
      </c>
      <c r="J1394" s="26" t="s">
        <v>2730</v>
      </c>
      <c r="T1394" s="8"/>
    </row>
    <row r="1395" spans="1:37" x14ac:dyDescent="0.2">
      <c r="A1395">
        <v>-82</v>
      </c>
      <c r="B1395" s="10" t="s">
        <v>72</v>
      </c>
      <c r="D1395" s="15" t="s">
        <v>2743</v>
      </c>
      <c r="E1395" s="13">
        <v>27</v>
      </c>
      <c r="F1395" s="13">
        <v>8</v>
      </c>
      <c r="G1395" s="13">
        <f t="shared" si="57"/>
        <v>212</v>
      </c>
      <c r="H1395" s="13">
        <v>83</v>
      </c>
      <c r="I1395" s="14">
        <f t="shared" si="58"/>
        <v>-82.345205479452048</v>
      </c>
      <c r="J1395" s="26" t="s">
        <v>2744</v>
      </c>
      <c r="T1395" s="8"/>
    </row>
    <row r="1396" spans="1:37" x14ac:dyDescent="0.2">
      <c r="A1396">
        <v>-82</v>
      </c>
      <c r="B1396" s="10" t="s">
        <v>91</v>
      </c>
      <c r="D1396" s="15" t="s">
        <v>2745</v>
      </c>
      <c r="E1396" s="13">
        <v>26</v>
      </c>
      <c r="F1396" s="13">
        <v>9</v>
      </c>
      <c r="G1396" s="13">
        <f t="shared" si="57"/>
        <v>243</v>
      </c>
      <c r="H1396" s="13">
        <v>83</v>
      </c>
      <c r="I1396" s="14">
        <f t="shared" si="58"/>
        <v>-82.263013698630132</v>
      </c>
      <c r="J1396" s="26" t="s">
        <v>2746</v>
      </c>
      <c r="T1396" s="8"/>
      <c r="Y1396" s="1">
        <v>7.5</v>
      </c>
      <c r="Z1396" s="9">
        <v>7.5</v>
      </c>
      <c r="AA1396" s="8">
        <f>1000/Z1396</f>
        <v>133.33333333333334</v>
      </c>
      <c r="AB1396" s="8">
        <f>8.33*AA1396</f>
        <v>1110.6666666666667</v>
      </c>
      <c r="AC1396" s="1">
        <v>7.5</v>
      </c>
      <c r="AD1396" s="9">
        <v>7.5</v>
      </c>
      <c r="AE1396" s="8">
        <f>1000/AD1396</f>
        <v>133.33333333333334</v>
      </c>
      <c r="AF1396" s="8">
        <f>8.33*AE1396</f>
        <v>1110.6666666666667</v>
      </c>
      <c r="AG1396" s="1">
        <v>1</v>
      </c>
      <c r="AH1396" s="9">
        <v>1</v>
      </c>
      <c r="AI1396" s="8">
        <f>1/AH1396</f>
        <v>1</v>
      </c>
      <c r="AJ1396" s="8">
        <f>8.33*AI1396</f>
        <v>8.33</v>
      </c>
    </row>
    <row r="1397" spans="1:37" x14ac:dyDescent="0.2">
      <c r="A1397">
        <v>-82</v>
      </c>
      <c r="B1397" s="10" t="s">
        <v>91</v>
      </c>
      <c r="C1397" s="11" t="s">
        <v>39</v>
      </c>
      <c r="D1397" s="15" t="s">
        <v>2745</v>
      </c>
      <c r="E1397" s="13">
        <v>26</v>
      </c>
      <c r="F1397" s="13">
        <v>9</v>
      </c>
      <c r="G1397" s="13">
        <f t="shared" si="57"/>
        <v>243</v>
      </c>
      <c r="H1397" s="13">
        <v>83</v>
      </c>
      <c r="I1397" s="14">
        <f t="shared" si="58"/>
        <v>-82.263013698630132</v>
      </c>
      <c r="J1397" s="26" t="s">
        <v>2747</v>
      </c>
      <c r="T1397" s="8"/>
    </row>
    <row r="1398" spans="1:37" x14ac:dyDescent="0.2">
      <c r="A1398">
        <v>-82</v>
      </c>
      <c r="B1398" s="10" t="s">
        <v>91</v>
      </c>
      <c r="C1398" s="11" t="s">
        <v>42</v>
      </c>
      <c r="D1398" s="15" t="s">
        <v>2748</v>
      </c>
      <c r="E1398" s="13">
        <v>6</v>
      </c>
      <c r="F1398" s="13">
        <v>10</v>
      </c>
      <c r="G1398" s="13">
        <f t="shared" si="57"/>
        <v>273</v>
      </c>
      <c r="H1398" s="13">
        <v>83</v>
      </c>
      <c r="I1398" s="14">
        <f t="shared" si="58"/>
        <v>-82.235616438356161</v>
      </c>
      <c r="J1398" s="26" t="s">
        <v>2749</v>
      </c>
      <c r="T1398" s="8"/>
      <c r="Y1398" s="1"/>
      <c r="Z1398" s="9"/>
      <c r="AC1398" s="1"/>
      <c r="AD1398" s="9"/>
      <c r="AG1398" s="1"/>
      <c r="AH1398" s="9"/>
    </row>
    <row r="1399" spans="1:37" x14ac:dyDescent="0.2">
      <c r="A1399">
        <v>-82</v>
      </c>
      <c r="B1399" s="10" t="s">
        <v>91</v>
      </c>
      <c r="C1399" s="11" t="s">
        <v>45</v>
      </c>
      <c r="D1399" s="15" t="s">
        <v>2750</v>
      </c>
      <c r="E1399" s="13">
        <v>16</v>
      </c>
      <c r="F1399" s="13">
        <v>10</v>
      </c>
      <c r="G1399" s="13">
        <f t="shared" si="57"/>
        <v>273</v>
      </c>
      <c r="H1399" s="13">
        <v>83</v>
      </c>
      <c r="I1399" s="14">
        <f t="shared" si="58"/>
        <v>-82.208219178082189</v>
      </c>
      <c r="J1399" s="26" t="s">
        <v>2746</v>
      </c>
      <c r="T1399" s="8"/>
      <c r="Y1399" s="1"/>
      <c r="Z1399" s="9"/>
      <c r="AC1399" s="1"/>
      <c r="AD1399" s="9"/>
      <c r="AG1399" s="1"/>
      <c r="AH1399" s="9"/>
    </row>
    <row r="1400" spans="1:37" x14ac:dyDescent="0.2">
      <c r="A1400">
        <v>-82</v>
      </c>
      <c r="B1400" s="10" t="s">
        <v>91</v>
      </c>
      <c r="C1400" s="11" t="s">
        <v>1998</v>
      </c>
      <c r="D1400" s="7" t="s">
        <v>2751</v>
      </c>
      <c r="E1400" s="13">
        <v>18</v>
      </c>
      <c r="F1400" s="13">
        <v>10</v>
      </c>
      <c r="G1400" s="13">
        <f t="shared" si="57"/>
        <v>273</v>
      </c>
      <c r="H1400" s="13">
        <v>83</v>
      </c>
      <c r="I1400" s="14">
        <f t="shared" si="58"/>
        <v>-82.202739726027403</v>
      </c>
      <c r="J1400" s="7" t="s">
        <v>2746</v>
      </c>
      <c r="K1400" s="10" t="s">
        <v>2752</v>
      </c>
      <c r="L1400" s="16">
        <v>12</v>
      </c>
      <c r="M1400" s="16">
        <f>1000/L1400</f>
        <v>83.333333333333329</v>
      </c>
      <c r="N1400" s="16">
        <f>8.33*M1400</f>
        <v>694.16666666666663</v>
      </c>
      <c r="O1400" s="16">
        <f>1.613*N1400</f>
        <v>1119.6908333333333</v>
      </c>
      <c r="T1400" s="8"/>
      <c r="AK1400" t="s">
        <v>2753</v>
      </c>
    </row>
    <row r="1401" spans="1:37" x14ac:dyDescent="0.2">
      <c r="A1401">
        <v>-82</v>
      </c>
      <c r="B1401" s="10" t="s">
        <v>75</v>
      </c>
      <c r="D1401" s="15" t="s">
        <v>2754</v>
      </c>
      <c r="E1401" s="13">
        <v>24</v>
      </c>
      <c r="F1401" s="13">
        <v>12</v>
      </c>
      <c r="G1401" s="13">
        <f t="shared" si="57"/>
        <v>334</v>
      </c>
      <c r="H1401" s="13">
        <v>83</v>
      </c>
      <c r="I1401" s="14">
        <f t="shared" si="58"/>
        <v>-82.019178082191786</v>
      </c>
      <c r="J1401" s="26" t="s">
        <v>2755</v>
      </c>
      <c r="T1401" s="8"/>
      <c r="U1401" s="1">
        <v>270</v>
      </c>
      <c r="V1401" s="9">
        <v>270</v>
      </c>
      <c r="W1401" s="8">
        <f>1000/V1401</f>
        <v>3.7037037037037037</v>
      </c>
      <c r="X1401" s="8">
        <f>8.33*W1401</f>
        <v>30.851851851851851</v>
      </c>
    </row>
    <row r="1402" spans="1:37" x14ac:dyDescent="0.2">
      <c r="A1402">
        <v>-82</v>
      </c>
      <c r="B1402" s="10" t="s">
        <v>75</v>
      </c>
      <c r="C1402" s="11" t="s">
        <v>39</v>
      </c>
      <c r="D1402" s="15" t="s">
        <v>2754</v>
      </c>
      <c r="E1402" s="13">
        <v>24</v>
      </c>
      <c r="F1402" s="13">
        <v>12</v>
      </c>
      <c r="G1402" s="13">
        <f t="shared" si="57"/>
        <v>334</v>
      </c>
      <c r="H1402" s="13">
        <v>83</v>
      </c>
      <c r="I1402" s="14">
        <f t="shared" si="58"/>
        <v>-82.019178082191786</v>
      </c>
      <c r="J1402" s="26" t="s">
        <v>2756</v>
      </c>
      <c r="T1402" s="8"/>
    </row>
    <row r="1403" spans="1:37" x14ac:dyDescent="0.2">
      <c r="A1403">
        <v>-82</v>
      </c>
      <c r="B1403" s="10" t="s">
        <v>75</v>
      </c>
      <c r="C1403" s="11" t="s">
        <v>1628</v>
      </c>
      <c r="D1403" s="7" t="s">
        <v>2754</v>
      </c>
      <c r="E1403" s="13">
        <v>24</v>
      </c>
      <c r="F1403" s="13">
        <v>12</v>
      </c>
      <c r="G1403" s="13">
        <f t="shared" si="57"/>
        <v>334</v>
      </c>
      <c r="H1403" s="13">
        <v>83</v>
      </c>
      <c r="I1403" s="14">
        <f t="shared" si="58"/>
        <v>-82.019178082191786</v>
      </c>
      <c r="J1403" s="7" t="s">
        <v>2757</v>
      </c>
      <c r="P1403">
        <v>49</v>
      </c>
      <c r="Q1403" s="17">
        <v>49</v>
      </c>
      <c r="R1403" s="16">
        <f>1000/Q1403</f>
        <v>20.408163265306122</v>
      </c>
      <c r="S1403" s="16">
        <f>8.33*R1403</f>
        <v>170</v>
      </c>
      <c r="T1403" s="16">
        <f>S1403*1.33</f>
        <v>226.10000000000002</v>
      </c>
    </row>
    <row r="1404" spans="1:37" x14ac:dyDescent="0.2">
      <c r="A1404">
        <v>-82</v>
      </c>
      <c r="B1404" s="10" t="s">
        <v>75</v>
      </c>
      <c r="C1404" s="11" t="s">
        <v>42</v>
      </c>
      <c r="D1404" s="26" t="s">
        <v>2758</v>
      </c>
      <c r="E1404" s="13">
        <v>3</v>
      </c>
      <c r="F1404" s="13">
        <v>1</v>
      </c>
      <c r="G1404" s="13">
        <f t="shared" si="57"/>
        <v>0</v>
      </c>
      <c r="H1404" s="13">
        <v>82</v>
      </c>
      <c r="I1404" s="14">
        <f t="shared" si="58"/>
        <v>-81.991780821917814</v>
      </c>
      <c r="J1404" s="26" t="s">
        <v>2759</v>
      </c>
    </row>
    <row r="1405" spans="1:37" x14ac:dyDescent="0.2">
      <c r="A1405">
        <v>-82</v>
      </c>
      <c r="B1405" s="10" t="s">
        <v>75</v>
      </c>
      <c r="C1405" s="11" t="s">
        <v>2760</v>
      </c>
      <c r="D1405" s="25" t="s">
        <v>2754</v>
      </c>
      <c r="E1405" s="13">
        <v>24</v>
      </c>
      <c r="F1405" s="13">
        <v>12</v>
      </c>
      <c r="G1405" s="13">
        <f t="shared" si="57"/>
        <v>334</v>
      </c>
      <c r="H1405" s="13">
        <v>82</v>
      </c>
      <c r="I1405" s="14">
        <f t="shared" si="58"/>
        <v>-81.019178082191786</v>
      </c>
      <c r="J1405" s="7" t="s">
        <v>2761</v>
      </c>
      <c r="K1405" s="10">
        <v>18</v>
      </c>
      <c r="L1405" s="16">
        <v>18</v>
      </c>
      <c r="M1405" s="16">
        <f>1000/L1405</f>
        <v>55.555555555555557</v>
      </c>
      <c r="N1405" s="16">
        <f>8.33*M1405</f>
        <v>462.77777777777777</v>
      </c>
      <c r="O1405" s="16">
        <f>1.613*N1405</f>
        <v>746.46055555555552</v>
      </c>
    </row>
    <row r="1406" spans="1:37" x14ac:dyDescent="0.2">
      <c r="A1406">
        <v>-82</v>
      </c>
      <c r="B1406" s="10" t="s">
        <v>75</v>
      </c>
      <c r="C1406" s="11" t="s">
        <v>2261</v>
      </c>
      <c r="D1406" s="7" t="s">
        <v>2762</v>
      </c>
      <c r="E1406" s="13">
        <v>8</v>
      </c>
      <c r="F1406" s="13">
        <v>1</v>
      </c>
      <c r="G1406" s="13">
        <f t="shared" si="57"/>
        <v>0</v>
      </c>
      <c r="H1406" s="13">
        <v>82</v>
      </c>
      <c r="I1406" s="14">
        <f t="shared" si="58"/>
        <v>-81.978082191780828</v>
      </c>
      <c r="J1406" s="7" t="s">
        <v>2755</v>
      </c>
      <c r="K1406" s="10">
        <v>19</v>
      </c>
      <c r="L1406" s="16">
        <v>19</v>
      </c>
      <c r="M1406" s="16">
        <f>1000/L1406</f>
        <v>52.631578947368418</v>
      </c>
      <c r="N1406" s="16">
        <f>8.33*M1406</f>
        <v>438.4210526315789</v>
      </c>
      <c r="O1406" s="16">
        <f>1.613*N1406</f>
        <v>707.17315789473673</v>
      </c>
    </row>
    <row r="1407" spans="1:37" x14ac:dyDescent="0.2">
      <c r="A1407">
        <v>-82</v>
      </c>
      <c r="B1407" s="10" t="s">
        <v>75</v>
      </c>
      <c r="C1407" s="11" t="s">
        <v>336</v>
      </c>
      <c r="D1407" s="25" t="s">
        <v>2763</v>
      </c>
      <c r="E1407" s="13">
        <v>15</v>
      </c>
      <c r="F1407" s="13">
        <v>1</v>
      </c>
      <c r="G1407" s="13">
        <f t="shared" si="57"/>
        <v>0</v>
      </c>
      <c r="H1407" s="13">
        <v>82</v>
      </c>
      <c r="I1407" s="14">
        <f t="shared" si="58"/>
        <v>-81.958904109589042</v>
      </c>
      <c r="J1407" s="7" t="s">
        <v>2764</v>
      </c>
      <c r="P1407" t="s">
        <v>2765</v>
      </c>
      <c r="Q1407" s="20">
        <v>52.5</v>
      </c>
      <c r="R1407" s="19">
        <f>1000/Q1407</f>
        <v>19.047619047619047</v>
      </c>
      <c r="S1407" s="19">
        <f>8.33*R1407</f>
        <v>158.66666666666666</v>
      </c>
      <c r="T1407" s="19">
        <f>S1407*1.33</f>
        <v>211.02666666666667</v>
      </c>
    </row>
    <row r="1408" spans="1:37" x14ac:dyDescent="0.2">
      <c r="A1408">
        <v>-82</v>
      </c>
      <c r="B1408" s="10" t="s">
        <v>75</v>
      </c>
      <c r="C1408" s="11" t="s">
        <v>45</v>
      </c>
      <c r="D1408" s="15" t="s">
        <v>2766</v>
      </c>
      <c r="E1408" s="13">
        <v>13</v>
      </c>
      <c r="F1408" s="13">
        <v>1</v>
      </c>
      <c r="G1408" s="13">
        <f t="shared" si="57"/>
        <v>0</v>
      </c>
      <c r="H1408" s="13">
        <v>82</v>
      </c>
      <c r="I1408" s="14">
        <f t="shared" si="58"/>
        <v>-81.964383561643842</v>
      </c>
      <c r="J1408" s="26" t="s">
        <v>2755</v>
      </c>
    </row>
    <row r="1409" spans="1:37" x14ac:dyDescent="0.2">
      <c r="A1409">
        <v>-82</v>
      </c>
      <c r="B1409" s="10" t="s">
        <v>75</v>
      </c>
      <c r="C1409" s="11" t="s">
        <v>1782</v>
      </c>
      <c r="D1409" s="7" t="s">
        <v>2767</v>
      </c>
      <c r="E1409" s="13">
        <v>17</v>
      </c>
      <c r="F1409" s="13">
        <v>1</v>
      </c>
      <c r="G1409" s="13">
        <f t="shared" si="57"/>
        <v>0</v>
      </c>
      <c r="H1409" s="13">
        <v>82</v>
      </c>
      <c r="I1409" s="14">
        <f t="shared" si="58"/>
        <v>-81.953424657534242</v>
      </c>
      <c r="J1409" s="7" t="s">
        <v>2755</v>
      </c>
      <c r="P1409">
        <v>54</v>
      </c>
      <c r="Q1409" s="17">
        <v>54</v>
      </c>
      <c r="R1409" s="16">
        <f>1000/Q1409</f>
        <v>18.518518518518519</v>
      </c>
      <c r="S1409" s="16">
        <f>8.33*R1409</f>
        <v>154.25925925925927</v>
      </c>
      <c r="T1409" s="16">
        <f>S1409*1.33</f>
        <v>205.16481481481483</v>
      </c>
    </row>
    <row r="1410" spans="1:37" x14ac:dyDescent="0.2">
      <c r="A1410">
        <v>-82</v>
      </c>
      <c r="B1410" s="10" t="s">
        <v>162</v>
      </c>
      <c r="C1410" s="11" t="s">
        <v>39</v>
      </c>
      <c r="D1410" s="15" t="s">
        <v>2768</v>
      </c>
      <c r="E1410" s="13">
        <v>22</v>
      </c>
      <c r="F1410" s="13">
        <v>3</v>
      </c>
      <c r="G1410" s="13">
        <f t="shared" ref="G1410:G1473" si="59">INDEX(A$1502:A$1513,F1410)</f>
        <v>59</v>
      </c>
      <c r="H1410" s="13">
        <v>82</v>
      </c>
      <c r="I1410" s="14">
        <f t="shared" si="58"/>
        <v>-81.778082191780825</v>
      </c>
      <c r="J1410" s="26" t="s">
        <v>2769</v>
      </c>
    </row>
    <row r="1411" spans="1:37" x14ac:dyDescent="0.2">
      <c r="A1411">
        <v>-82</v>
      </c>
      <c r="B1411" s="10" t="s">
        <v>162</v>
      </c>
      <c r="C1411" s="11" t="s">
        <v>2770</v>
      </c>
      <c r="D1411" s="7" t="s">
        <v>2771</v>
      </c>
      <c r="E1411" s="13">
        <v>30</v>
      </c>
      <c r="F1411" s="13">
        <v>3</v>
      </c>
      <c r="G1411" s="13">
        <f t="shared" si="59"/>
        <v>59</v>
      </c>
      <c r="H1411" s="13">
        <v>82</v>
      </c>
      <c r="I1411" s="14">
        <f t="shared" ref="I1411:I1474" si="60">($E1411+$G1411)/365-$H1411</f>
        <v>-81.756164383561639</v>
      </c>
      <c r="J1411" s="7"/>
      <c r="K1411" s="10">
        <v>31.25</v>
      </c>
      <c r="L1411" s="16">
        <v>31.25</v>
      </c>
      <c r="M1411" s="16">
        <f>1000/L1411</f>
        <v>32</v>
      </c>
      <c r="N1411" s="16">
        <f>8.33*M1411</f>
        <v>266.56</v>
      </c>
      <c r="O1411" s="16">
        <f>1.613*N1411</f>
        <v>429.96127999999999</v>
      </c>
      <c r="AK1411" t="s">
        <v>2772</v>
      </c>
    </row>
    <row r="1412" spans="1:37" x14ac:dyDescent="0.2">
      <c r="A1412">
        <v>-82</v>
      </c>
      <c r="B1412" s="10" t="s">
        <v>162</v>
      </c>
      <c r="C1412" s="11" t="s">
        <v>2773</v>
      </c>
      <c r="D1412" s="7" t="s">
        <v>2769</v>
      </c>
      <c r="E1412" s="13">
        <v>31</v>
      </c>
      <c r="F1412" s="13">
        <v>3</v>
      </c>
      <c r="G1412" s="13">
        <f t="shared" si="59"/>
        <v>59</v>
      </c>
      <c r="H1412" s="13">
        <v>82</v>
      </c>
      <c r="I1412" s="14">
        <f t="shared" si="60"/>
        <v>-81.753424657534254</v>
      </c>
      <c r="J1412" s="7" t="s">
        <v>2774</v>
      </c>
      <c r="P1412">
        <v>51.5</v>
      </c>
      <c r="Q1412" s="17">
        <v>51.5</v>
      </c>
      <c r="R1412" s="16">
        <f>1000/Q1412</f>
        <v>19.417475728155338</v>
      </c>
      <c r="S1412" s="16">
        <f>8.33*R1412</f>
        <v>161.74757281553397</v>
      </c>
      <c r="T1412" s="16">
        <f>S1412*1.33</f>
        <v>215.1242718446602</v>
      </c>
    </row>
    <row r="1413" spans="1:37" x14ac:dyDescent="0.2">
      <c r="A1413">
        <v>-82</v>
      </c>
      <c r="B1413" s="10" t="s">
        <v>162</v>
      </c>
      <c r="C1413" s="11" t="s">
        <v>42</v>
      </c>
      <c r="D1413" s="15" t="s">
        <v>2775</v>
      </c>
      <c r="E1413" s="13">
        <v>1</v>
      </c>
      <c r="F1413" s="13">
        <v>4</v>
      </c>
      <c r="G1413" s="13">
        <f t="shared" si="59"/>
        <v>90</v>
      </c>
      <c r="H1413" s="13">
        <v>82</v>
      </c>
      <c r="I1413" s="14">
        <f t="shared" si="60"/>
        <v>-81.750684931506854</v>
      </c>
      <c r="J1413" s="26" t="s">
        <v>2776</v>
      </c>
      <c r="T1413" s="8"/>
    </row>
    <row r="1414" spans="1:37" x14ac:dyDescent="0.2">
      <c r="A1414">
        <v>-82</v>
      </c>
      <c r="B1414" s="10" t="s">
        <v>162</v>
      </c>
      <c r="C1414" s="11" t="s">
        <v>2384</v>
      </c>
      <c r="D1414" s="7" t="s">
        <v>2777</v>
      </c>
      <c r="E1414" s="13">
        <v>2</v>
      </c>
      <c r="F1414" s="13">
        <v>4</v>
      </c>
      <c r="G1414" s="13">
        <f t="shared" si="59"/>
        <v>90</v>
      </c>
      <c r="H1414" s="13">
        <v>82</v>
      </c>
      <c r="I1414" s="14">
        <f t="shared" si="60"/>
        <v>-81.747945205479454</v>
      </c>
      <c r="J1414" s="7" t="s">
        <v>2778</v>
      </c>
      <c r="K1414" s="10" t="s">
        <v>2779</v>
      </c>
      <c r="L1414" s="19">
        <v>32</v>
      </c>
      <c r="M1414" s="19">
        <f>1000/L1414</f>
        <v>31.25</v>
      </c>
      <c r="N1414" s="19">
        <f>8.33*M1414</f>
        <v>260.3125</v>
      </c>
      <c r="O1414" s="19">
        <f>1.613*N1414</f>
        <v>419.88406249999997</v>
      </c>
      <c r="T1414" s="8"/>
    </row>
    <row r="1415" spans="1:37" x14ac:dyDescent="0.2">
      <c r="A1415">
        <v>-82</v>
      </c>
      <c r="B1415" s="10" t="s">
        <v>162</v>
      </c>
      <c r="C1415" s="11">
        <v>14</v>
      </c>
      <c r="D1415" s="7" t="s">
        <v>2780</v>
      </c>
      <c r="E1415" s="13">
        <v>4</v>
      </c>
      <c r="F1415" s="13">
        <v>4</v>
      </c>
      <c r="G1415" s="13">
        <f t="shared" si="59"/>
        <v>90</v>
      </c>
      <c r="H1415" s="13">
        <v>82</v>
      </c>
      <c r="I1415" s="14">
        <f t="shared" si="60"/>
        <v>-81.742465753424653</v>
      </c>
      <c r="J1415" s="7"/>
      <c r="K1415" s="10">
        <v>31</v>
      </c>
      <c r="L1415" s="16">
        <v>31</v>
      </c>
      <c r="M1415" s="16">
        <f>1000/L1415</f>
        <v>32.258064516129032</v>
      </c>
      <c r="N1415" s="16">
        <f>8.33*M1415</f>
        <v>268.70967741935482</v>
      </c>
      <c r="O1415" s="16">
        <f>1.613*N1415</f>
        <v>433.42870967741931</v>
      </c>
      <c r="T1415" s="8"/>
    </row>
    <row r="1416" spans="1:37" x14ac:dyDescent="0.2">
      <c r="A1416">
        <v>-82</v>
      </c>
      <c r="B1416" s="10" t="s">
        <v>162</v>
      </c>
      <c r="C1416" s="11" t="s">
        <v>2190</v>
      </c>
      <c r="D1416" s="7" t="s">
        <v>2781</v>
      </c>
      <c r="E1416" s="13">
        <v>7</v>
      </c>
      <c r="F1416" s="13">
        <v>4</v>
      </c>
      <c r="G1416" s="13">
        <f t="shared" si="59"/>
        <v>90</v>
      </c>
      <c r="H1416" s="13">
        <v>82</v>
      </c>
      <c r="I1416" s="14">
        <f t="shared" si="60"/>
        <v>-81.734246575342468</v>
      </c>
      <c r="J1416" s="7"/>
      <c r="P1416" t="s">
        <v>2519</v>
      </c>
      <c r="T1416" s="8"/>
    </row>
    <row r="1417" spans="1:37" x14ac:dyDescent="0.2">
      <c r="A1417">
        <v>-82</v>
      </c>
      <c r="B1417" s="10" t="s">
        <v>162</v>
      </c>
      <c r="C1417" s="11" t="s">
        <v>45</v>
      </c>
      <c r="D1417" s="15" t="s">
        <v>2782</v>
      </c>
      <c r="E1417" s="13">
        <v>11</v>
      </c>
      <c r="F1417" s="13">
        <v>4</v>
      </c>
      <c r="G1417" s="13">
        <f t="shared" si="59"/>
        <v>90</v>
      </c>
      <c r="H1417" s="13">
        <v>82</v>
      </c>
      <c r="I1417" s="14">
        <f t="shared" si="60"/>
        <v>-81.723287671232882</v>
      </c>
      <c r="J1417" s="26" t="s">
        <v>2783</v>
      </c>
      <c r="T1417" s="8"/>
    </row>
    <row r="1418" spans="1:37" x14ac:dyDescent="0.2">
      <c r="A1418">
        <v>-79</v>
      </c>
      <c r="B1418" s="10" t="s">
        <v>47</v>
      </c>
      <c r="D1418" s="15" t="s">
        <v>2784</v>
      </c>
      <c r="E1418" s="13">
        <v>28</v>
      </c>
      <c r="F1418" s="13">
        <v>4</v>
      </c>
      <c r="G1418" s="13">
        <f t="shared" si="59"/>
        <v>90</v>
      </c>
      <c r="H1418" s="13">
        <v>80</v>
      </c>
      <c r="I1418" s="14">
        <f t="shared" si="60"/>
        <v>-79.676712328767124</v>
      </c>
      <c r="J1418" s="26" t="s">
        <v>2785</v>
      </c>
      <c r="T1418" s="8"/>
      <c r="AG1418" s="1">
        <v>0.67</v>
      </c>
      <c r="AH1418" s="9">
        <v>0.67</v>
      </c>
      <c r="AI1418" s="8">
        <f>1/AH1418</f>
        <v>1.4925373134328357</v>
      </c>
      <c r="AJ1418" s="8">
        <f>8.33*AI1418</f>
        <v>12.432835820895521</v>
      </c>
    </row>
    <row r="1419" spans="1:37" x14ac:dyDescent="0.2">
      <c r="A1419">
        <v>-79</v>
      </c>
      <c r="B1419" s="10" t="s">
        <v>47</v>
      </c>
      <c r="C1419" s="11" t="s">
        <v>39</v>
      </c>
      <c r="D1419" s="15" t="s">
        <v>2784</v>
      </c>
      <c r="E1419" s="13">
        <v>28</v>
      </c>
      <c r="F1419" s="13">
        <v>4</v>
      </c>
      <c r="G1419" s="13">
        <f t="shared" si="59"/>
        <v>90</v>
      </c>
      <c r="H1419" s="13">
        <v>80</v>
      </c>
      <c r="I1419" s="14">
        <f t="shared" si="60"/>
        <v>-79.676712328767124</v>
      </c>
      <c r="J1419" s="26" t="s">
        <v>2786</v>
      </c>
      <c r="T1419" s="8"/>
    </row>
    <row r="1420" spans="1:37" x14ac:dyDescent="0.2">
      <c r="A1420">
        <v>-79</v>
      </c>
      <c r="B1420" s="10" t="s">
        <v>47</v>
      </c>
      <c r="C1420" s="11" t="s">
        <v>42</v>
      </c>
      <c r="D1420" s="15" t="s">
        <v>2787</v>
      </c>
      <c r="E1420" s="13">
        <v>8</v>
      </c>
      <c r="F1420" s="13">
        <v>5</v>
      </c>
      <c r="G1420" s="13">
        <f t="shared" si="59"/>
        <v>120</v>
      </c>
      <c r="H1420" s="13">
        <v>80</v>
      </c>
      <c r="I1420" s="14">
        <f t="shared" si="60"/>
        <v>-79.649315068493152</v>
      </c>
      <c r="J1420" s="26" t="s">
        <v>2788</v>
      </c>
      <c r="T1420" s="8"/>
    </row>
    <row r="1421" spans="1:37" x14ac:dyDescent="0.2">
      <c r="A1421">
        <v>-79</v>
      </c>
      <c r="B1421" s="10" t="s">
        <v>47</v>
      </c>
      <c r="C1421" s="11" t="s">
        <v>2789</v>
      </c>
      <c r="D1421" s="25" t="s">
        <v>2790</v>
      </c>
      <c r="E1421" s="13">
        <v>18</v>
      </c>
      <c r="F1421" s="13">
        <v>5</v>
      </c>
      <c r="G1421" s="13">
        <f t="shared" si="59"/>
        <v>120</v>
      </c>
      <c r="H1421" s="13">
        <v>80</v>
      </c>
      <c r="I1421" s="14">
        <f t="shared" si="60"/>
        <v>-79.62191780821918</v>
      </c>
      <c r="J1421" s="7" t="s">
        <v>2785</v>
      </c>
      <c r="K1421" s="10" t="s">
        <v>133</v>
      </c>
      <c r="T1421" s="8"/>
      <c r="AC1421">
        <v>8.5</v>
      </c>
      <c r="AD1421" s="17">
        <v>8.5</v>
      </c>
      <c r="AE1421" s="16">
        <f>1000/AD1421</f>
        <v>117.64705882352941</v>
      </c>
      <c r="AF1421" s="16">
        <f>8.33*AE1421</f>
        <v>980</v>
      </c>
    </row>
    <row r="1422" spans="1:37" x14ac:dyDescent="0.2">
      <c r="A1422">
        <v>-79</v>
      </c>
      <c r="B1422" s="10" t="s">
        <v>72</v>
      </c>
      <c r="D1422" s="15" t="s">
        <v>2791</v>
      </c>
      <c r="E1422" s="13">
        <v>24</v>
      </c>
      <c r="F1422" s="13">
        <v>8</v>
      </c>
      <c r="G1422" s="13">
        <f t="shared" si="59"/>
        <v>212</v>
      </c>
      <c r="H1422" s="13">
        <v>80</v>
      </c>
      <c r="I1422" s="14">
        <f t="shared" si="60"/>
        <v>-79.353424657534248</v>
      </c>
      <c r="J1422" s="26" t="s">
        <v>2792</v>
      </c>
      <c r="T1422" s="8"/>
      <c r="U1422" s="1">
        <v>180</v>
      </c>
      <c r="V1422" s="9">
        <v>180</v>
      </c>
      <c r="W1422" s="8">
        <f>1000/V1422</f>
        <v>5.5555555555555554</v>
      </c>
      <c r="X1422" s="8">
        <f>8.33*W1422</f>
        <v>46.277777777777779</v>
      </c>
    </row>
    <row r="1423" spans="1:37" x14ac:dyDescent="0.2">
      <c r="A1423">
        <v>-79</v>
      </c>
      <c r="B1423" s="10" t="s">
        <v>72</v>
      </c>
      <c r="C1423" s="11" t="s">
        <v>39</v>
      </c>
      <c r="D1423" s="15" t="s">
        <v>2791</v>
      </c>
      <c r="E1423" s="13">
        <v>24</v>
      </c>
      <c r="F1423" s="13">
        <v>8</v>
      </c>
      <c r="G1423" s="13">
        <f t="shared" si="59"/>
        <v>212</v>
      </c>
      <c r="H1423" s="13">
        <v>80</v>
      </c>
      <c r="I1423" s="14">
        <f t="shared" si="60"/>
        <v>-79.353424657534248</v>
      </c>
      <c r="J1423" s="26" t="s">
        <v>2793</v>
      </c>
      <c r="T1423" s="8"/>
    </row>
    <row r="1424" spans="1:37" x14ac:dyDescent="0.2">
      <c r="A1424">
        <v>-79</v>
      </c>
      <c r="B1424" s="10" t="s">
        <v>72</v>
      </c>
      <c r="C1424" s="11" t="s">
        <v>42</v>
      </c>
      <c r="D1424" s="15" t="s">
        <v>2794</v>
      </c>
      <c r="E1424" s="13">
        <v>3</v>
      </c>
      <c r="F1424" s="13">
        <v>9</v>
      </c>
      <c r="G1424" s="13">
        <f t="shared" si="59"/>
        <v>243</v>
      </c>
      <c r="H1424" s="13">
        <v>80</v>
      </c>
      <c r="I1424" s="14">
        <f t="shared" si="60"/>
        <v>-79.326027397260276</v>
      </c>
      <c r="J1424" s="26" t="s">
        <v>2795</v>
      </c>
      <c r="T1424" s="8"/>
      <c r="U1424" s="1"/>
      <c r="V1424" s="9"/>
    </row>
    <row r="1425" spans="1:37" x14ac:dyDescent="0.2">
      <c r="A1425">
        <v>-79</v>
      </c>
      <c r="B1425" s="10" t="s">
        <v>72</v>
      </c>
      <c r="C1425" s="11" t="s">
        <v>45</v>
      </c>
      <c r="D1425" s="15" t="s">
        <v>2796</v>
      </c>
      <c r="E1425" s="13">
        <v>13</v>
      </c>
      <c r="F1425" s="13">
        <v>9</v>
      </c>
      <c r="G1425" s="13">
        <f t="shared" si="59"/>
        <v>243</v>
      </c>
      <c r="H1425" s="13">
        <v>80</v>
      </c>
      <c r="I1425" s="14">
        <f t="shared" si="60"/>
        <v>-79.298630136986304</v>
      </c>
      <c r="J1425" s="26" t="s">
        <v>2792</v>
      </c>
      <c r="P1425" t="s">
        <v>2797</v>
      </c>
      <c r="Q1425" s="20">
        <v>45</v>
      </c>
      <c r="R1425" s="19">
        <f>1000/Q1425</f>
        <v>22.222222222222221</v>
      </c>
      <c r="S1425" s="19">
        <f>8.33*R1425</f>
        <v>185.11111111111111</v>
      </c>
      <c r="T1425" s="19">
        <f>S1425*1.33</f>
        <v>246.19777777777779</v>
      </c>
      <c r="U1425" s="1"/>
      <c r="V1425" s="9"/>
      <c r="AK1425" t="s">
        <v>2798</v>
      </c>
    </row>
    <row r="1426" spans="1:37" x14ac:dyDescent="0.2">
      <c r="A1426">
        <v>-79</v>
      </c>
      <c r="B1426" s="10" t="s">
        <v>72</v>
      </c>
      <c r="C1426" s="11" t="s">
        <v>1571</v>
      </c>
      <c r="D1426" s="7" t="s">
        <v>2799</v>
      </c>
      <c r="E1426" s="13">
        <v>20</v>
      </c>
      <c r="F1426" s="13">
        <v>9</v>
      </c>
      <c r="G1426" s="13">
        <f t="shared" si="59"/>
        <v>243</v>
      </c>
      <c r="H1426" s="13">
        <v>80</v>
      </c>
      <c r="I1426" s="14">
        <f t="shared" si="60"/>
        <v>-79.279452054794518</v>
      </c>
      <c r="J1426" s="7" t="s">
        <v>2792</v>
      </c>
      <c r="T1426" s="8"/>
      <c r="AC1426">
        <v>10</v>
      </c>
      <c r="AD1426" s="17">
        <v>10</v>
      </c>
      <c r="AE1426" s="16">
        <f>1000/AD1426</f>
        <v>100</v>
      </c>
      <c r="AF1426" s="16">
        <f>8.33*AE1426</f>
        <v>833</v>
      </c>
    </row>
    <row r="1427" spans="1:37" x14ac:dyDescent="0.2">
      <c r="A1427">
        <v>-78</v>
      </c>
      <c r="B1427" s="10" t="s">
        <v>72</v>
      </c>
      <c r="D1427" s="15" t="s">
        <v>2800</v>
      </c>
      <c r="E1427" s="13">
        <v>12</v>
      </c>
      <c r="F1427" s="13">
        <v>9</v>
      </c>
      <c r="G1427" s="13">
        <f t="shared" si="59"/>
        <v>243</v>
      </c>
      <c r="H1427" s="13">
        <v>79</v>
      </c>
      <c r="I1427" s="14">
        <f t="shared" si="60"/>
        <v>-78.301369863013704</v>
      </c>
      <c r="J1427" s="26" t="s">
        <v>2801</v>
      </c>
      <c r="P1427" s="1">
        <v>50</v>
      </c>
      <c r="Q1427" s="9">
        <v>50</v>
      </c>
      <c r="R1427" s="8">
        <f>1000/Q1427</f>
        <v>20</v>
      </c>
      <c r="S1427" s="8">
        <f>8.33*R1427</f>
        <v>166.6</v>
      </c>
      <c r="T1427" s="8">
        <f>S1427*1.33</f>
        <v>221.578</v>
      </c>
    </row>
    <row r="1428" spans="1:37" x14ac:dyDescent="0.2">
      <c r="A1428">
        <v>-78</v>
      </c>
      <c r="B1428" s="10" t="s">
        <v>72</v>
      </c>
      <c r="C1428" s="11" t="s">
        <v>39</v>
      </c>
      <c r="D1428" s="15" t="s">
        <v>2800</v>
      </c>
      <c r="E1428" s="13">
        <v>12</v>
      </c>
      <c r="F1428" s="13">
        <v>9</v>
      </c>
      <c r="G1428" s="13">
        <f t="shared" si="59"/>
        <v>243</v>
      </c>
      <c r="H1428" s="13">
        <v>79</v>
      </c>
      <c r="I1428" s="14">
        <f t="shared" si="60"/>
        <v>-78.301369863013704</v>
      </c>
      <c r="J1428" s="26" t="s">
        <v>2802</v>
      </c>
      <c r="R1428" s="8"/>
      <c r="S1428" s="8"/>
      <c r="T1428" s="8"/>
      <c r="U1428" t="s">
        <v>41</v>
      </c>
      <c r="AG1428" t="s">
        <v>41</v>
      </c>
      <c r="AH1428" s="17" t="s">
        <v>41</v>
      </c>
    </row>
    <row r="1429" spans="1:37" x14ac:dyDescent="0.2">
      <c r="A1429">
        <v>-78</v>
      </c>
      <c r="B1429" s="10" t="s">
        <v>72</v>
      </c>
      <c r="C1429" s="11" t="s">
        <v>42</v>
      </c>
      <c r="D1429" s="15" t="s">
        <v>2803</v>
      </c>
      <c r="E1429" s="13">
        <v>22</v>
      </c>
      <c r="F1429" s="13">
        <v>9</v>
      </c>
      <c r="G1429" s="13">
        <f t="shared" si="59"/>
        <v>243</v>
      </c>
      <c r="H1429" s="13">
        <v>79</v>
      </c>
      <c r="I1429" s="14">
        <f t="shared" si="60"/>
        <v>-78.273972602739732</v>
      </c>
      <c r="J1429" s="26" t="s">
        <v>2804</v>
      </c>
      <c r="K1429" s="10" t="s">
        <v>2805</v>
      </c>
      <c r="L1429" s="16">
        <v>42</v>
      </c>
      <c r="M1429" s="16">
        <f>1000/L1429</f>
        <v>23.80952380952381</v>
      </c>
      <c r="N1429" s="16">
        <f>8.33*M1429</f>
        <v>198.33333333333334</v>
      </c>
      <c r="O1429" s="16">
        <f>1.613*N1429</f>
        <v>319.91166666666669</v>
      </c>
      <c r="R1429" s="8"/>
      <c r="S1429" s="8"/>
      <c r="T1429" s="8"/>
    </row>
    <row r="1430" spans="1:37" x14ac:dyDescent="0.2">
      <c r="A1430">
        <v>-78</v>
      </c>
      <c r="B1430" s="10" t="s">
        <v>72</v>
      </c>
      <c r="C1430" s="11" t="s">
        <v>2789</v>
      </c>
      <c r="D1430" s="15" t="s">
        <v>2806</v>
      </c>
      <c r="E1430" s="13">
        <v>2</v>
      </c>
      <c r="F1430" s="13">
        <v>10</v>
      </c>
      <c r="G1430" s="13">
        <f t="shared" si="59"/>
        <v>273</v>
      </c>
      <c r="H1430" s="13">
        <v>79</v>
      </c>
      <c r="I1430" s="14">
        <f t="shared" si="60"/>
        <v>-78.246575342465746</v>
      </c>
      <c r="J1430" s="26" t="s">
        <v>2801</v>
      </c>
      <c r="K1430" s="10">
        <v>40</v>
      </c>
      <c r="L1430" s="16">
        <v>40</v>
      </c>
      <c r="M1430" s="16">
        <f>1000/L1430</f>
        <v>25</v>
      </c>
      <c r="N1430" s="16">
        <f>8.33*M1430</f>
        <v>208.25</v>
      </c>
      <c r="O1430" s="16">
        <f>1.613*N1430</f>
        <v>335.90724999999998</v>
      </c>
      <c r="R1430" s="8"/>
      <c r="S1430" s="8"/>
      <c r="T1430" s="8"/>
    </row>
    <row r="1431" spans="1:37" x14ac:dyDescent="0.2">
      <c r="A1431">
        <v>-77</v>
      </c>
      <c r="B1431" s="10" t="s">
        <v>60</v>
      </c>
      <c r="D1431" s="15" t="s">
        <v>2807</v>
      </c>
      <c r="E1431" s="13">
        <v>7</v>
      </c>
      <c r="F1431" s="13">
        <v>4</v>
      </c>
      <c r="G1431" s="13">
        <f t="shared" si="59"/>
        <v>90</v>
      </c>
      <c r="H1431" s="13">
        <v>78</v>
      </c>
      <c r="I1431" s="14">
        <f t="shared" si="60"/>
        <v>-77.734246575342468</v>
      </c>
      <c r="J1431" s="26" t="s">
        <v>2808</v>
      </c>
      <c r="R1431" s="8"/>
      <c r="S1431" s="8"/>
      <c r="T1431" s="8"/>
      <c r="U1431" s="1">
        <v>282</v>
      </c>
      <c r="V1431" s="9">
        <v>282</v>
      </c>
      <c r="W1431" s="8">
        <f>1000/V1431</f>
        <v>3.5460992907801416</v>
      </c>
      <c r="X1431" s="8">
        <f>8.33*W1431</f>
        <v>29.539007092198581</v>
      </c>
      <c r="AG1431" s="1">
        <v>0.67</v>
      </c>
      <c r="AH1431" s="9">
        <v>0.67</v>
      </c>
      <c r="AI1431" s="8">
        <f>1/AH1431</f>
        <v>1.4925373134328357</v>
      </c>
      <c r="AJ1431" s="8">
        <f>8.33*AI1431</f>
        <v>12.432835820895521</v>
      </c>
    </row>
    <row r="1432" spans="1:37" x14ac:dyDescent="0.2">
      <c r="A1432">
        <v>-77</v>
      </c>
      <c r="B1432" s="10" t="s">
        <v>47</v>
      </c>
      <c r="D1432" s="15" t="s">
        <v>2809</v>
      </c>
      <c r="E1432" s="13">
        <v>7</v>
      </c>
      <c r="F1432" s="13">
        <v>5</v>
      </c>
      <c r="G1432" s="13">
        <f t="shared" si="59"/>
        <v>120</v>
      </c>
      <c r="H1432" s="13">
        <v>78</v>
      </c>
      <c r="I1432" s="14">
        <f t="shared" si="60"/>
        <v>-77.652054794520552</v>
      </c>
      <c r="J1432" s="26" t="s">
        <v>2810</v>
      </c>
      <c r="P1432" s="1">
        <v>49.5</v>
      </c>
      <c r="Q1432" s="9">
        <v>49.5</v>
      </c>
      <c r="R1432" s="8">
        <f>1000/Q1432</f>
        <v>20.202020202020201</v>
      </c>
      <c r="S1432" s="8">
        <f>8.33*R1432</f>
        <v>168.28282828282826</v>
      </c>
      <c r="T1432" s="8">
        <f>S1432*1.33</f>
        <v>223.81616161616159</v>
      </c>
      <c r="U1432" s="1" t="s">
        <v>1450</v>
      </c>
      <c r="V1432" s="21">
        <v>270</v>
      </c>
      <c r="W1432" s="22">
        <f>1000/V1432</f>
        <v>3.7037037037037037</v>
      </c>
      <c r="X1432" s="22">
        <f>8.33*W1432</f>
        <v>30.851851851851851</v>
      </c>
      <c r="Y1432" s="1">
        <v>6</v>
      </c>
      <c r="Z1432" s="9">
        <v>6</v>
      </c>
      <c r="AA1432" s="8">
        <f>1000/Z1432</f>
        <v>166.66666666666666</v>
      </c>
      <c r="AB1432" s="8">
        <f>8.33*AA1432</f>
        <v>1388.3333333333333</v>
      </c>
      <c r="AC1432" s="1" t="s">
        <v>2811</v>
      </c>
      <c r="AD1432" s="21">
        <v>7</v>
      </c>
      <c r="AE1432" s="8">
        <f>1000/AD1432</f>
        <v>142.85714285714286</v>
      </c>
      <c r="AF1432" s="8">
        <f>8.33*AE1432</f>
        <v>1190</v>
      </c>
      <c r="AG1432" s="1">
        <v>0.67</v>
      </c>
      <c r="AH1432" s="9">
        <v>0.67</v>
      </c>
      <c r="AI1432" s="8">
        <f>1/AH1432</f>
        <v>1.4925373134328357</v>
      </c>
      <c r="AJ1432" s="8">
        <f>8.33*AI1432</f>
        <v>12.432835820895521</v>
      </c>
    </row>
    <row r="1433" spans="1:37" x14ac:dyDescent="0.2">
      <c r="A1433">
        <v>-77</v>
      </c>
      <c r="B1433" s="10" t="s">
        <v>47</v>
      </c>
      <c r="C1433" s="11" t="s">
        <v>39</v>
      </c>
      <c r="D1433" s="15" t="s">
        <v>2809</v>
      </c>
      <c r="E1433" s="13">
        <v>7</v>
      </c>
      <c r="F1433" s="13">
        <v>5</v>
      </c>
      <c r="G1433" s="13">
        <f t="shared" si="59"/>
        <v>120</v>
      </c>
      <c r="H1433" s="13">
        <v>78</v>
      </c>
      <c r="I1433" s="14">
        <f t="shared" si="60"/>
        <v>-77.652054794520552</v>
      </c>
      <c r="J1433" s="26" t="s">
        <v>2812</v>
      </c>
      <c r="T1433" s="8"/>
    </row>
    <row r="1434" spans="1:37" x14ac:dyDescent="0.2">
      <c r="A1434">
        <v>-77</v>
      </c>
      <c r="B1434" s="10" t="s">
        <v>47</v>
      </c>
      <c r="C1434" s="11" t="s">
        <v>42</v>
      </c>
      <c r="D1434" s="15" t="s">
        <v>2813</v>
      </c>
      <c r="E1434" s="13">
        <v>17</v>
      </c>
      <c r="F1434" s="13">
        <v>5</v>
      </c>
      <c r="G1434" s="13">
        <f t="shared" si="59"/>
        <v>120</v>
      </c>
      <c r="H1434" s="13">
        <v>78</v>
      </c>
      <c r="I1434" s="14">
        <f t="shared" si="60"/>
        <v>-77.62465753424658</v>
      </c>
      <c r="J1434" s="26" t="s">
        <v>2814</v>
      </c>
      <c r="P1434" s="1"/>
      <c r="Q1434" s="9"/>
      <c r="T1434" s="8"/>
      <c r="U1434" s="1"/>
      <c r="V1434" s="9"/>
    </row>
    <row r="1435" spans="1:37" x14ac:dyDescent="0.2">
      <c r="A1435">
        <v>-77</v>
      </c>
      <c r="B1435" s="10" t="s">
        <v>47</v>
      </c>
      <c r="C1435" s="11" t="s">
        <v>2789</v>
      </c>
      <c r="D1435" s="25" t="s">
        <v>2815</v>
      </c>
      <c r="E1435" s="13">
        <v>27</v>
      </c>
      <c r="F1435" s="13">
        <v>5</v>
      </c>
      <c r="G1435" s="13">
        <f t="shared" si="59"/>
        <v>120</v>
      </c>
      <c r="H1435" s="13">
        <v>78</v>
      </c>
      <c r="I1435" s="14">
        <f t="shared" si="60"/>
        <v>-77.597260273972609</v>
      </c>
      <c r="J1435" s="26" t="s">
        <v>2810</v>
      </c>
      <c r="K1435" s="10" t="s">
        <v>2816</v>
      </c>
      <c r="L1435" s="16">
        <v>46</v>
      </c>
      <c r="M1435" s="16">
        <f>1000/L1435</f>
        <v>21.739130434782609</v>
      </c>
      <c r="N1435" s="16">
        <f>8.33*M1435</f>
        <v>181.08695652173913</v>
      </c>
      <c r="O1435" s="16">
        <f>1.613*N1435</f>
        <v>292.0932608695652</v>
      </c>
      <c r="P1435" s="1"/>
      <c r="Q1435" s="9"/>
      <c r="T1435" s="8"/>
      <c r="U1435" s="1"/>
      <c r="V1435" s="9"/>
    </row>
    <row r="1436" spans="1:37" x14ac:dyDescent="0.2">
      <c r="A1436">
        <v>-77</v>
      </c>
      <c r="B1436" s="10" t="s">
        <v>65</v>
      </c>
      <c r="D1436" s="15" t="s">
        <v>2817</v>
      </c>
      <c r="E1436" s="13">
        <v>5</v>
      </c>
      <c r="F1436" s="13">
        <v>6</v>
      </c>
      <c r="G1436" s="13">
        <f t="shared" si="59"/>
        <v>151</v>
      </c>
      <c r="H1436" s="13">
        <v>78</v>
      </c>
      <c r="I1436" s="14">
        <f t="shared" si="60"/>
        <v>-77.572602739726022</v>
      </c>
      <c r="J1436" s="26" t="s">
        <v>2818</v>
      </c>
      <c r="P1436" s="1"/>
      <c r="Q1436" s="9"/>
      <c r="T1436" s="8"/>
      <c r="U1436" s="1">
        <v>270</v>
      </c>
      <c r="V1436" s="9">
        <v>270</v>
      </c>
      <c r="W1436" s="8">
        <f>1000/V1436</f>
        <v>3.7037037037037037</v>
      </c>
      <c r="X1436" s="8">
        <f>8.33*W1436</f>
        <v>30.851851851851851</v>
      </c>
      <c r="AC1436" s="1">
        <v>7.875</v>
      </c>
      <c r="AD1436" s="9">
        <v>7.875</v>
      </c>
      <c r="AE1436" s="8">
        <f>1000/AD1436</f>
        <v>126.98412698412699</v>
      </c>
      <c r="AF1436" s="8">
        <f>8.33*AE1436</f>
        <v>1057.7777777777778</v>
      </c>
      <c r="AG1436" s="1">
        <v>0.67</v>
      </c>
      <c r="AH1436" s="9">
        <v>0.67</v>
      </c>
      <c r="AI1436" s="8">
        <f>1/AH1436</f>
        <v>1.4925373134328357</v>
      </c>
      <c r="AJ1436" s="8">
        <f>8.33*AI1436</f>
        <v>12.432835820895521</v>
      </c>
    </row>
    <row r="1437" spans="1:37" x14ac:dyDescent="0.2">
      <c r="A1437">
        <v>-77</v>
      </c>
      <c r="B1437" s="10" t="s">
        <v>65</v>
      </c>
      <c r="C1437" s="11" t="s">
        <v>39</v>
      </c>
      <c r="D1437" s="15" t="s">
        <v>2817</v>
      </c>
      <c r="E1437" s="13">
        <v>5</v>
      </c>
      <c r="F1437" s="13">
        <v>6</v>
      </c>
      <c r="G1437" s="13">
        <f t="shared" si="59"/>
        <v>151</v>
      </c>
      <c r="H1437" s="13">
        <v>78</v>
      </c>
      <c r="I1437" s="14">
        <f t="shared" si="60"/>
        <v>-77.572602739726022</v>
      </c>
      <c r="J1437" s="26" t="s">
        <v>2819</v>
      </c>
      <c r="T1437" s="8"/>
      <c r="Y1437">
        <v>6</v>
      </c>
      <c r="Z1437" s="17">
        <v>6</v>
      </c>
      <c r="AA1437" s="16">
        <f>1000/Z1437</f>
        <v>166.66666666666666</v>
      </c>
      <c r="AB1437" s="16">
        <f>8.33*AA1437</f>
        <v>1388.3333333333333</v>
      </c>
    </row>
    <row r="1438" spans="1:37" x14ac:dyDescent="0.2">
      <c r="A1438">
        <v>-77</v>
      </c>
      <c r="B1438" s="10" t="s">
        <v>65</v>
      </c>
      <c r="C1438" s="11" t="s">
        <v>1539</v>
      </c>
      <c r="D1438" s="7" t="s">
        <v>2817</v>
      </c>
      <c r="E1438" s="13">
        <v>5</v>
      </c>
      <c r="F1438" s="13">
        <v>6</v>
      </c>
      <c r="G1438" s="13">
        <f t="shared" si="59"/>
        <v>151</v>
      </c>
      <c r="H1438" s="13">
        <v>78</v>
      </c>
      <c r="I1438" s="14">
        <f t="shared" si="60"/>
        <v>-77.572602739726022</v>
      </c>
      <c r="J1438" s="7" t="s">
        <v>2820</v>
      </c>
      <c r="K1438" s="10">
        <v>40</v>
      </c>
      <c r="L1438" s="16">
        <v>40</v>
      </c>
      <c r="M1438" s="16">
        <f>1000/L1438</f>
        <v>25</v>
      </c>
      <c r="N1438" s="16">
        <f>8.33*M1438</f>
        <v>208.25</v>
      </c>
      <c r="O1438" s="16">
        <f>1.613*N1438</f>
        <v>335.90724999999998</v>
      </c>
      <c r="P1438">
        <v>49.5</v>
      </c>
      <c r="Q1438" s="17">
        <v>49.5</v>
      </c>
      <c r="R1438" s="16">
        <f>1000/Q1438</f>
        <v>20.202020202020201</v>
      </c>
      <c r="S1438" s="16">
        <f>8.33*R1438</f>
        <v>168.28282828282826</v>
      </c>
      <c r="T1438" s="16">
        <f>S1438*1.33</f>
        <v>223.81616161616159</v>
      </c>
      <c r="AK1438" t="s">
        <v>2821</v>
      </c>
    </row>
    <row r="1439" spans="1:37" x14ac:dyDescent="0.2">
      <c r="A1439">
        <v>-77</v>
      </c>
      <c r="B1439" s="10" t="s">
        <v>65</v>
      </c>
      <c r="C1439" s="11" t="s">
        <v>2822</v>
      </c>
      <c r="D1439" s="7" t="s">
        <v>2820</v>
      </c>
      <c r="E1439" s="13">
        <v>7</v>
      </c>
      <c r="F1439" s="13">
        <v>6</v>
      </c>
      <c r="G1439" s="13">
        <f t="shared" si="59"/>
        <v>151</v>
      </c>
      <c r="H1439" s="13">
        <v>78</v>
      </c>
      <c r="I1439" s="14">
        <f t="shared" si="60"/>
        <v>-77.567123287671237</v>
      </c>
      <c r="J1439" s="7" t="s">
        <v>2818</v>
      </c>
      <c r="T1439" s="8"/>
      <c r="Y1439">
        <v>9</v>
      </c>
      <c r="Z1439" s="17">
        <v>9</v>
      </c>
      <c r="AA1439" s="16">
        <f>1000/Z1439</f>
        <v>111.11111111111111</v>
      </c>
      <c r="AB1439" s="16">
        <f>8.33*AA1439</f>
        <v>925.55555555555554</v>
      </c>
      <c r="AK1439" t="s">
        <v>2276</v>
      </c>
    </row>
    <row r="1440" spans="1:37" x14ac:dyDescent="0.2">
      <c r="A1440">
        <v>-77</v>
      </c>
      <c r="B1440" s="10" t="s">
        <v>65</v>
      </c>
      <c r="C1440" s="11">
        <v>4</v>
      </c>
      <c r="D1440" s="7" t="s">
        <v>2823</v>
      </c>
      <c r="E1440" s="13">
        <v>8</v>
      </c>
      <c r="F1440" s="13">
        <v>6</v>
      </c>
      <c r="G1440" s="13">
        <f t="shared" si="59"/>
        <v>151</v>
      </c>
      <c r="H1440" s="13">
        <v>78</v>
      </c>
      <c r="I1440" s="14">
        <f t="shared" si="60"/>
        <v>-77.564383561643837</v>
      </c>
      <c r="J1440" s="7"/>
      <c r="K1440" s="10">
        <v>42</v>
      </c>
      <c r="L1440" s="16">
        <v>42</v>
      </c>
      <c r="M1440" s="16">
        <f>1000/L1440</f>
        <v>23.80952380952381</v>
      </c>
      <c r="N1440" s="16">
        <f>8.33*M1440</f>
        <v>198.33333333333334</v>
      </c>
      <c r="O1440" s="16">
        <f>1.613*N1440</f>
        <v>319.91166666666669</v>
      </c>
      <c r="T1440" s="8"/>
    </row>
    <row r="1441" spans="1:37" x14ac:dyDescent="0.2">
      <c r="A1441">
        <v>-77</v>
      </c>
      <c r="B1441" s="10" t="s">
        <v>65</v>
      </c>
      <c r="C1441" s="11" t="s">
        <v>2824</v>
      </c>
      <c r="D1441" s="15" t="s">
        <v>2823</v>
      </c>
      <c r="E1441" s="13">
        <v>8</v>
      </c>
      <c r="F1441" s="13">
        <v>6</v>
      </c>
      <c r="G1441" s="13">
        <f t="shared" si="59"/>
        <v>151</v>
      </c>
      <c r="H1441" s="13">
        <v>78</v>
      </c>
      <c r="I1441" s="14">
        <f t="shared" si="60"/>
        <v>-77.564383561643837</v>
      </c>
      <c r="J1441" s="7" t="s">
        <v>2818</v>
      </c>
      <c r="P1441">
        <v>51.5</v>
      </c>
      <c r="Q1441" s="17">
        <v>51.5</v>
      </c>
      <c r="R1441" s="16">
        <f>1000/Q1441</f>
        <v>19.417475728155338</v>
      </c>
      <c r="S1441" s="16">
        <f>8.33*R1441</f>
        <v>161.74757281553397</v>
      </c>
      <c r="T1441" s="16">
        <f>S1441*1.33</f>
        <v>215.1242718446602</v>
      </c>
    </row>
    <row r="1442" spans="1:37" x14ac:dyDescent="0.2">
      <c r="A1442">
        <v>-77</v>
      </c>
      <c r="B1442" s="10" t="s">
        <v>65</v>
      </c>
      <c r="C1442" s="11" t="s">
        <v>2825</v>
      </c>
      <c r="D1442" s="7" t="s">
        <v>2826</v>
      </c>
      <c r="E1442" s="13">
        <v>9</v>
      </c>
      <c r="F1442" s="13">
        <v>6</v>
      </c>
      <c r="G1442" s="13">
        <f t="shared" si="59"/>
        <v>151</v>
      </c>
      <c r="H1442" s="13">
        <v>78</v>
      </c>
      <c r="I1442" s="14">
        <f t="shared" si="60"/>
        <v>-77.561643835616437</v>
      </c>
      <c r="J1442" s="7" t="s">
        <v>2827</v>
      </c>
      <c r="K1442" s="10" t="s">
        <v>2828</v>
      </c>
      <c r="L1442" s="19">
        <v>46</v>
      </c>
      <c r="M1442" s="19">
        <f>1000/L1442</f>
        <v>21.739130434782609</v>
      </c>
      <c r="N1442" s="19">
        <f>8.33*M1442</f>
        <v>181.08695652173913</v>
      </c>
      <c r="O1442" s="19">
        <f>1.613*N1442</f>
        <v>292.0932608695652</v>
      </c>
      <c r="T1442" s="8"/>
    </row>
    <row r="1443" spans="1:37" x14ac:dyDescent="0.2">
      <c r="A1443">
        <v>-77</v>
      </c>
      <c r="B1443" s="10" t="s">
        <v>65</v>
      </c>
      <c r="C1443" s="11" t="s">
        <v>42</v>
      </c>
      <c r="D1443" s="15" t="s">
        <v>2829</v>
      </c>
      <c r="E1443" s="13">
        <v>15</v>
      </c>
      <c r="F1443" s="13">
        <v>6</v>
      </c>
      <c r="G1443" s="13">
        <f t="shared" si="59"/>
        <v>151</v>
      </c>
      <c r="H1443" s="13">
        <v>78</v>
      </c>
      <c r="I1443" s="14">
        <f t="shared" si="60"/>
        <v>-77.545205479452051</v>
      </c>
      <c r="J1443" s="26" t="s">
        <v>2830</v>
      </c>
      <c r="T1443" s="8"/>
    </row>
    <row r="1444" spans="1:37" x14ac:dyDescent="0.2">
      <c r="A1444">
        <v>-77</v>
      </c>
      <c r="B1444" s="10" t="s">
        <v>65</v>
      </c>
      <c r="C1444" s="11" t="s">
        <v>2831</v>
      </c>
      <c r="D1444" s="7" t="s">
        <v>2832</v>
      </c>
      <c r="E1444" s="13">
        <v>23</v>
      </c>
      <c r="F1444" s="13">
        <v>6</v>
      </c>
      <c r="G1444" s="13">
        <f t="shared" si="59"/>
        <v>151</v>
      </c>
      <c r="H1444" s="13">
        <v>78</v>
      </c>
      <c r="I1444" s="14">
        <f t="shared" si="60"/>
        <v>-77.523287671232879</v>
      </c>
      <c r="J1444" s="7" t="s">
        <v>2833</v>
      </c>
      <c r="K1444" s="10" t="s">
        <v>1818</v>
      </c>
      <c r="L1444" s="19">
        <v>48</v>
      </c>
      <c r="M1444" s="19">
        <f>1000/L1444</f>
        <v>20.833333333333332</v>
      </c>
      <c r="N1444" s="19">
        <f>8.33*M1444</f>
        <v>173.54166666666666</v>
      </c>
      <c r="O1444" s="19">
        <f>1.613*N1444</f>
        <v>279.92270833333333</v>
      </c>
      <c r="T1444" s="8"/>
      <c r="AK1444" t="s">
        <v>2834</v>
      </c>
    </row>
    <row r="1445" spans="1:37" x14ac:dyDescent="0.2">
      <c r="A1445">
        <v>-77</v>
      </c>
      <c r="B1445" s="10" t="s">
        <v>65</v>
      </c>
      <c r="C1445" s="11" t="s">
        <v>45</v>
      </c>
      <c r="D1445" s="15" t="s">
        <v>2835</v>
      </c>
      <c r="E1445" s="13">
        <v>25</v>
      </c>
      <c r="F1445" s="13">
        <v>6</v>
      </c>
      <c r="G1445" s="13">
        <f t="shared" si="59"/>
        <v>151</v>
      </c>
      <c r="H1445" s="13">
        <v>78</v>
      </c>
      <c r="I1445" s="14">
        <f t="shared" si="60"/>
        <v>-77.517808219178079</v>
      </c>
      <c r="J1445" s="26" t="s">
        <v>2818</v>
      </c>
      <c r="T1445" s="8"/>
    </row>
    <row r="1446" spans="1:37" x14ac:dyDescent="0.2">
      <c r="A1446">
        <v>-77</v>
      </c>
      <c r="B1446" s="10" t="s">
        <v>65</v>
      </c>
      <c r="C1446" s="11" t="s">
        <v>1882</v>
      </c>
      <c r="D1446" s="7" t="s">
        <v>2836</v>
      </c>
      <c r="E1446" s="13">
        <v>28</v>
      </c>
      <c r="F1446" s="13">
        <v>6</v>
      </c>
      <c r="G1446" s="13">
        <f t="shared" si="59"/>
        <v>151</v>
      </c>
      <c r="H1446" s="13">
        <v>78</v>
      </c>
      <c r="I1446" s="14">
        <f t="shared" si="60"/>
        <v>-77.509589041095893</v>
      </c>
      <c r="J1446" s="7" t="s">
        <v>2837</v>
      </c>
      <c r="K1446" s="10">
        <v>40</v>
      </c>
      <c r="L1446" s="16">
        <v>40</v>
      </c>
      <c r="M1446" s="16">
        <f>1000/L1446</f>
        <v>25</v>
      </c>
      <c r="N1446" s="16">
        <f>8.33*M1446</f>
        <v>208.25</v>
      </c>
      <c r="O1446" s="16">
        <f>1.613*N1446</f>
        <v>335.90724999999998</v>
      </c>
      <c r="T1446" s="8"/>
    </row>
    <row r="1447" spans="1:37" x14ac:dyDescent="0.2">
      <c r="A1447">
        <v>-77</v>
      </c>
      <c r="B1447" s="10" t="s">
        <v>65</v>
      </c>
      <c r="C1447" s="11" t="s">
        <v>1790</v>
      </c>
      <c r="D1447" s="7" t="s">
        <v>2838</v>
      </c>
      <c r="E1447" s="13">
        <v>30</v>
      </c>
      <c r="F1447" s="13">
        <v>6</v>
      </c>
      <c r="G1447" s="13">
        <f t="shared" si="59"/>
        <v>151</v>
      </c>
      <c r="H1447" s="13">
        <v>78</v>
      </c>
      <c r="I1447" s="14">
        <f t="shared" si="60"/>
        <v>-77.504109589041093</v>
      </c>
      <c r="J1447" s="7" t="s">
        <v>2818</v>
      </c>
      <c r="K1447" s="10" t="s">
        <v>2839</v>
      </c>
      <c r="L1447" s="16">
        <v>37.875</v>
      </c>
      <c r="M1447" s="16">
        <f>1000/L1447</f>
        <v>26.402640264026402</v>
      </c>
      <c r="N1447" s="16">
        <f>8.33*M1447</f>
        <v>219.93399339933993</v>
      </c>
      <c r="O1447" s="16">
        <f>1.613*N1447</f>
        <v>354.75353135313532</v>
      </c>
      <c r="T1447" s="8"/>
    </row>
    <row r="1448" spans="1:37" x14ac:dyDescent="0.2">
      <c r="A1448">
        <v>-77</v>
      </c>
      <c r="B1448" s="10" t="s">
        <v>130</v>
      </c>
      <c r="D1448" s="15" t="s">
        <v>2840</v>
      </c>
      <c r="E1448" s="13">
        <v>4</v>
      </c>
      <c r="F1448" s="13">
        <v>7</v>
      </c>
      <c r="G1448" s="13">
        <f t="shared" si="59"/>
        <v>181</v>
      </c>
      <c r="H1448" s="13">
        <v>78</v>
      </c>
      <c r="I1448" s="14">
        <f t="shared" si="60"/>
        <v>-77.493150684931507</v>
      </c>
      <c r="J1448" s="26" t="s">
        <v>2841</v>
      </c>
      <c r="P1448" s="1" t="s">
        <v>2842</v>
      </c>
      <c r="Q1448" s="21">
        <v>50.5</v>
      </c>
      <c r="R1448" s="22">
        <f>1000/Q1448</f>
        <v>19.801980198019802</v>
      </c>
      <c r="S1448" s="22">
        <f>8.33*R1448</f>
        <v>164.95049504950495</v>
      </c>
      <c r="T1448" s="22">
        <f>S1448*1.33</f>
        <v>219.3841584158416</v>
      </c>
      <c r="U1448" s="1">
        <v>180</v>
      </c>
      <c r="V1448" s="9">
        <v>180</v>
      </c>
      <c r="W1448" s="8">
        <f>1000/V1448</f>
        <v>5.5555555555555554</v>
      </c>
      <c r="X1448" s="8">
        <f>8.33*W1448</f>
        <v>46.277777777777779</v>
      </c>
      <c r="Y1448" s="1">
        <v>9</v>
      </c>
      <c r="Z1448" s="9">
        <v>9</v>
      </c>
      <c r="AA1448" s="8">
        <f>1000/Z1448</f>
        <v>111.11111111111111</v>
      </c>
      <c r="AB1448" s="8">
        <f>8.33*AA1448</f>
        <v>925.55555555555554</v>
      </c>
      <c r="AG1448" s="1">
        <v>0.67</v>
      </c>
      <c r="AH1448" s="9">
        <v>0.67</v>
      </c>
      <c r="AI1448" s="8">
        <f>1/AH1448</f>
        <v>1.4925373134328357</v>
      </c>
      <c r="AJ1448" s="8">
        <f>8.33*AI1448</f>
        <v>12.432835820895521</v>
      </c>
      <c r="AK1448" t="s">
        <v>2843</v>
      </c>
    </row>
    <row r="1449" spans="1:37" x14ac:dyDescent="0.2">
      <c r="A1449">
        <v>-77</v>
      </c>
      <c r="B1449" s="10" t="s">
        <v>130</v>
      </c>
      <c r="C1449" s="11" t="s">
        <v>39</v>
      </c>
      <c r="D1449" s="15" t="s">
        <v>2840</v>
      </c>
      <c r="E1449" s="13">
        <v>4</v>
      </c>
      <c r="F1449" s="13">
        <v>7</v>
      </c>
      <c r="G1449" s="13">
        <f t="shared" si="59"/>
        <v>181</v>
      </c>
      <c r="H1449" s="13">
        <v>78</v>
      </c>
      <c r="I1449" s="14">
        <f t="shared" si="60"/>
        <v>-77.493150684931507</v>
      </c>
      <c r="J1449" s="26" t="s">
        <v>2844</v>
      </c>
      <c r="T1449" s="8"/>
    </row>
    <row r="1450" spans="1:37" x14ac:dyDescent="0.2">
      <c r="A1450">
        <v>-77</v>
      </c>
      <c r="B1450" s="10" t="s">
        <v>130</v>
      </c>
      <c r="C1450" s="11" t="s">
        <v>2341</v>
      </c>
      <c r="D1450" s="7" t="s">
        <v>2840</v>
      </c>
      <c r="E1450" s="13">
        <v>4</v>
      </c>
      <c r="F1450" s="13">
        <v>7</v>
      </c>
      <c r="G1450" s="13">
        <f t="shared" si="59"/>
        <v>181</v>
      </c>
      <c r="H1450" s="13">
        <v>78</v>
      </c>
      <c r="I1450" s="14">
        <f t="shared" si="60"/>
        <v>-77.493150684931507</v>
      </c>
      <c r="J1450" s="7" t="s">
        <v>2845</v>
      </c>
      <c r="T1450" s="8"/>
      <c r="AC1450">
        <v>7.875</v>
      </c>
      <c r="AD1450" s="17">
        <v>7.875</v>
      </c>
      <c r="AE1450" s="16">
        <f>1000/AD1450</f>
        <v>126.98412698412699</v>
      </c>
      <c r="AF1450" s="16">
        <f>8.33*AE1450</f>
        <v>1057.7777777777778</v>
      </c>
    </row>
    <row r="1451" spans="1:37" x14ac:dyDescent="0.2">
      <c r="A1451">
        <v>-77</v>
      </c>
      <c r="B1451" s="10" t="s">
        <v>130</v>
      </c>
      <c r="C1451" s="11" t="s">
        <v>1539</v>
      </c>
      <c r="D1451" s="7" t="s">
        <v>2840</v>
      </c>
      <c r="E1451" s="13">
        <v>4</v>
      </c>
      <c r="F1451" s="13">
        <v>7</v>
      </c>
      <c r="G1451" s="13">
        <f t="shared" si="59"/>
        <v>181</v>
      </c>
      <c r="H1451" s="13">
        <v>78</v>
      </c>
      <c r="I1451" s="14">
        <f t="shared" si="60"/>
        <v>-77.493150684931507</v>
      </c>
      <c r="J1451" s="7" t="s">
        <v>2846</v>
      </c>
      <c r="K1451" s="10">
        <v>40</v>
      </c>
      <c r="L1451" s="16">
        <v>40</v>
      </c>
      <c r="M1451" s="16">
        <f>1000/L1451</f>
        <v>25</v>
      </c>
      <c r="N1451" s="16">
        <f>8.33*M1451</f>
        <v>208.25</v>
      </c>
      <c r="O1451" s="16">
        <f>1.613*N1451</f>
        <v>335.90724999999998</v>
      </c>
      <c r="T1451" s="8"/>
    </row>
    <row r="1452" spans="1:37" x14ac:dyDescent="0.2">
      <c r="A1452">
        <v>-77</v>
      </c>
      <c r="B1452" s="10" t="s">
        <v>130</v>
      </c>
      <c r="C1452" s="11" t="s">
        <v>2847</v>
      </c>
      <c r="D1452" s="7" t="s">
        <v>2848</v>
      </c>
      <c r="E1452" s="13">
        <v>7</v>
      </c>
      <c r="F1452" s="13">
        <v>7</v>
      </c>
      <c r="G1452" s="13">
        <f t="shared" si="59"/>
        <v>181</v>
      </c>
      <c r="H1452" s="13">
        <v>78</v>
      </c>
      <c r="I1452" s="14">
        <f t="shared" si="60"/>
        <v>-77.484931506849321</v>
      </c>
      <c r="J1452" s="7" t="s">
        <v>2849</v>
      </c>
      <c r="K1452" s="10">
        <v>38.875</v>
      </c>
      <c r="L1452" s="16">
        <v>38.875</v>
      </c>
      <c r="M1452" s="16">
        <f>1000/L1452</f>
        <v>25.723472668810288</v>
      </c>
      <c r="N1452" s="16">
        <f>8.33*M1452</f>
        <v>214.2765273311897</v>
      </c>
      <c r="O1452" s="16">
        <f>1.613*N1452</f>
        <v>345.62803858520897</v>
      </c>
      <c r="T1452" s="8"/>
    </row>
    <row r="1453" spans="1:37" x14ac:dyDescent="0.2">
      <c r="A1453">
        <v>-77</v>
      </c>
      <c r="B1453" s="10" t="s">
        <v>130</v>
      </c>
      <c r="C1453" s="11" t="s">
        <v>2324</v>
      </c>
      <c r="D1453" s="7" t="s">
        <v>2844</v>
      </c>
      <c r="E1453" s="13">
        <v>13</v>
      </c>
      <c r="F1453" s="13">
        <v>7</v>
      </c>
      <c r="G1453" s="13">
        <f t="shared" si="59"/>
        <v>181</v>
      </c>
      <c r="H1453" s="13">
        <v>78</v>
      </c>
      <c r="I1453" s="14">
        <f t="shared" si="60"/>
        <v>-77.468493150684935</v>
      </c>
      <c r="J1453" s="7" t="s">
        <v>2841</v>
      </c>
      <c r="T1453" s="8"/>
      <c r="AC1453">
        <v>8</v>
      </c>
      <c r="AD1453" s="17">
        <v>8</v>
      </c>
      <c r="AE1453" s="16">
        <f>1000/AD1453</f>
        <v>125</v>
      </c>
      <c r="AF1453" s="16">
        <f>8.33*AE1453</f>
        <v>1041.25</v>
      </c>
    </row>
    <row r="1454" spans="1:37" x14ac:dyDescent="0.2">
      <c r="A1454">
        <v>-77</v>
      </c>
      <c r="B1454" s="10" t="s">
        <v>130</v>
      </c>
      <c r="C1454" s="11" t="s">
        <v>42</v>
      </c>
      <c r="D1454" s="15" t="s">
        <v>2849</v>
      </c>
      <c r="E1454" s="13">
        <v>14</v>
      </c>
      <c r="F1454" s="13">
        <v>7</v>
      </c>
      <c r="G1454" s="13">
        <f t="shared" si="59"/>
        <v>181</v>
      </c>
      <c r="H1454" s="13">
        <v>78</v>
      </c>
      <c r="I1454" s="14">
        <f t="shared" si="60"/>
        <v>-77.465753424657535</v>
      </c>
      <c r="J1454" s="26" t="s">
        <v>2850</v>
      </c>
      <c r="T1454" s="8"/>
    </row>
    <row r="1455" spans="1:37" x14ac:dyDescent="0.2">
      <c r="A1455">
        <v>-77</v>
      </c>
      <c r="B1455" s="10" t="s">
        <v>130</v>
      </c>
      <c r="C1455" s="11" t="s">
        <v>2346</v>
      </c>
      <c r="D1455" s="7" t="s">
        <v>2851</v>
      </c>
      <c r="E1455" s="13">
        <v>15</v>
      </c>
      <c r="F1455" s="13">
        <v>7</v>
      </c>
      <c r="G1455" s="13">
        <f t="shared" si="59"/>
        <v>181</v>
      </c>
      <c r="H1455" s="13">
        <v>78</v>
      </c>
      <c r="I1455" s="14">
        <f t="shared" si="60"/>
        <v>-77.463013698630135</v>
      </c>
      <c r="J1455" s="7" t="s">
        <v>2841</v>
      </c>
      <c r="K1455" s="10">
        <v>40</v>
      </c>
      <c r="L1455" s="16">
        <v>40</v>
      </c>
      <c r="M1455" s="16">
        <f>1000/L1455</f>
        <v>25</v>
      </c>
      <c r="N1455" s="16">
        <f>8.33*M1455</f>
        <v>208.25</v>
      </c>
      <c r="O1455" s="16">
        <f>1.613*N1455</f>
        <v>335.90724999999998</v>
      </c>
      <c r="T1455" s="8"/>
    </row>
    <row r="1456" spans="1:37" x14ac:dyDescent="0.2">
      <c r="A1456">
        <v>-77</v>
      </c>
      <c r="B1456" s="10" t="s">
        <v>285</v>
      </c>
      <c r="D1456" s="15" t="s">
        <v>2852</v>
      </c>
      <c r="E1456" s="13">
        <v>3</v>
      </c>
      <c r="F1456" s="13">
        <v>8</v>
      </c>
      <c r="G1456" s="13">
        <f t="shared" si="59"/>
        <v>212</v>
      </c>
      <c r="H1456" s="13">
        <v>78</v>
      </c>
      <c r="I1456" s="14">
        <f t="shared" si="60"/>
        <v>-77.410958904109592</v>
      </c>
      <c r="J1456" s="26" t="s">
        <v>2853</v>
      </c>
      <c r="K1456" s="2">
        <v>40</v>
      </c>
      <c r="L1456" s="8">
        <v>40</v>
      </c>
      <c r="M1456" s="8">
        <f>1000/L1456</f>
        <v>25</v>
      </c>
      <c r="N1456" s="8">
        <f>8.33*M1456</f>
        <v>208.25</v>
      </c>
      <c r="O1456" s="8">
        <f>1.613*N1456</f>
        <v>335.90724999999998</v>
      </c>
      <c r="P1456" s="1">
        <v>51.5</v>
      </c>
      <c r="Q1456" s="9">
        <v>51.5</v>
      </c>
      <c r="R1456" s="8">
        <f>1000/Q1456</f>
        <v>19.417475728155338</v>
      </c>
      <c r="S1456" s="8">
        <f>8.33*R1456</f>
        <v>161.74757281553397</v>
      </c>
      <c r="T1456" s="8">
        <f>S1456*1.33</f>
        <v>215.1242718446602</v>
      </c>
      <c r="U1456" s="1">
        <v>180</v>
      </c>
      <c r="V1456" s="9">
        <v>180</v>
      </c>
      <c r="W1456" s="8">
        <f>1000/V1456</f>
        <v>5.5555555555555554</v>
      </c>
      <c r="X1456" s="8">
        <f>8.33*W1456</f>
        <v>46.277777777777779</v>
      </c>
      <c r="Y1456" s="1">
        <v>7.5</v>
      </c>
      <c r="Z1456" s="9">
        <v>7.5</v>
      </c>
      <c r="AA1456" s="8">
        <f>1000/Z1456</f>
        <v>133.33333333333334</v>
      </c>
      <c r="AB1456" s="8">
        <f>8.33*AA1456</f>
        <v>1110.6666666666667</v>
      </c>
      <c r="AC1456" s="1">
        <v>7.75</v>
      </c>
      <c r="AD1456" s="9">
        <v>7.75</v>
      </c>
      <c r="AE1456" s="8">
        <f>1000/AD1456</f>
        <v>129.03225806451613</v>
      </c>
      <c r="AF1456" s="8">
        <f>8.33*AE1456</f>
        <v>1074.8387096774193</v>
      </c>
      <c r="AG1456" s="1">
        <v>0.67</v>
      </c>
      <c r="AH1456" s="9">
        <v>0.67</v>
      </c>
      <c r="AI1456" s="8">
        <f>1/AH1456</f>
        <v>1.4925373134328357</v>
      </c>
      <c r="AJ1456" s="8">
        <f>8.33*AI1456</f>
        <v>12.432835820895521</v>
      </c>
    </row>
    <row r="1457" spans="1:36" x14ac:dyDescent="0.2">
      <c r="A1457">
        <v>-77</v>
      </c>
      <c r="B1457" s="10" t="s">
        <v>91</v>
      </c>
      <c r="C1457" s="11" t="s">
        <v>39</v>
      </c>
      <c r="D1457" s="15" t="s">
        <v>2854</v>
      </c>
      <c r="E1457" s="13">
        <v>1</v>
      </c>
      <c r="F1457" s="13">
        <v>10</v>
      </c>
      <c r="G1457" s="13">
        <f t="shared" si="59"/>
        <v>273</v>
      </c>
      <c r="H1457" s="13">
        <v>78</v>
      </c>
      <c r="I1457" s="14">
        <f t="shared" si="60"/>
        <v>-77.249315068493146</v>
      </c>
      <c r="J1457" s="26" t="s">
        <v>2855</v>
      </c>
      <c r="K1457" s="2"/>
      <c r="L1457" s="8"/>
      <c r="P1457" s="1"/>
      <c r="Q1457" s="9"/>
      <c r="T1457" s="8"/>
      <c r="U1457" s="1"/>
      <c r="V1457" s="9"/>
      <c r="Y1457" s="1"/>
      <c r="Z1457" s="9"/>
      <c r="AC1457" s="1"/>
      <c r="AD1457" s="9"/>
      <c r="AG1457" s="1"/>
      <c r="AH1457" s="9"/>
    </row>
    <row r="1458" spans="1:36" x14ac:dyDescent="0.2">
      <c r="A1458">
        <v>-77</v>
      </c>
      <c r="B1458" s="10" t="s">
        <v>91</v>
      </c>
      <c r="C1458" s="11" t="s">
        <v>2072</v>
      </c>
      <c r="D1458" s="7" t="s">
        <v>2854</v>
      </c>
      <c r="E1458" s="13">
        <v>1</v>
      </c>
      <c r="F1458" s="13">
        <v>10</v>
      </c>
      <c r="G1458" s="13">
        <f t="shared" si="59"/>
        <v>273</v>
      </c>
      <c r="H1458" s="13">
        <v>78</v>
      </c>
      <c r="I1458" s="14">
        <f t="shared" si="60"/>
        <v>-77.249315068493146</v>
      </c>
      <c r="J1458" s="7" t="s">
        <v>2856</v>
      </c>
      <c r="T1458" s="8"/>
      <c r="Y1458">
        <v>6</v>
      </c>
      <c r="Z1458" s="17">
        <v>6</v>
      </c>
      <c r="AA1458" s="16">
        <f>1000/Z1458</f>
        <v>166.66666666666666</v>
      </c>
      <c r="AB1458" s="16">
        <f>8.33*AA1458</f>
        <v>1388.3333333333333</v>
      </c>
    </row>
    <row r="1459" spans="1:36" x14ac:dyDescent="0.2">
      <c r="A1459">
        <v>-77</v>
      </c>
      <c r="B1459" s="10" t="s">
        <v>91</v>
      </c>
      <c r="C1459" s="11" t="s">
        <v>2254</v>
      </c>
      <c r="D1459" s="7" t="s">
        <v>2854</v>
      </c>
      <c r="E1459" s="13">
        <v>1</v>
      </c>
      <c r="F1459" s="13">
        <v>10</v>
      </c>
      <c r="G1459" s="13">
        <f t="shared" si="59"/>
        <v>273</v>
      </c>
      <c r="H1459" s="13">
        <v>78</v>
      </c>
      <c r="I1459" s="14">
        <f t="shared" si="60"/>
        <v>-77.249315068493146</v>
      </c>
      <c r="J1459" s="7" t="s">
        <v>2855</v>
      </c>
      <c r="P1459">
        <v>45.5</v>
      </c>
      <c r="Q1459" s="17">
        <v>45.5</v>
      </c>
      <c r="R1459" s="16">
        <f>1000/Q1459</f>
        <v>21.978021978021978</v>
      </c>
      <c r="S1459" s="16">
        <f>8.33*R1459</f>
        <v>183.07692307692307</v>
      </c>
      <c r="T1459" s="16">
        <f>S1459*1.33</f>
        <v>243.49230769230769</v>
      </c>
    </row>
    <row r="1460" spans="1:36" x14ac:dyDescent="0.2">
      <c r="A1460">
        <v>-77</v>
      </c>
      <c r="B1460" s="10" t="s">
        <v>91</v>
      </c>
      <c r="C1460" s="11" t="s">
        <v>2040</v>
      </c>
      <c r="D1460" s="7" t="s">
        <v>2854</v>
      </c>
      <c r="E1460" s="13">
        <v>1</v>
      </c>
      <c r="F1460" s="13">
        <v>10</v>
      </c>
      <c r="G1460" s="13">
        <f t="shared" si="59"/>
        <v>273</v>
      </c>
      <c r="H1460" s="13">
        <v>78</v>
      </c>
      <c r="I1460" s="14">
        <f t="shared" si="60"/>
        <v>-77.249315068493146</v>
      </c>
      <c r="J1460" s="7" t="s">
        <v>2857</v>
      </c>
      <c r="T1460" s="8"/>
      <c r="AC1460">
        <v>6</v>
      </c>
      <c r="AD1460" s="17">
        <v>6</v>
      </c>
      <c r="AE1460" s="16">
        <f>1000/AD1460</f>
        <v>166.66666666666666</v>
      </c>
      <c r="AF1460" s="16">
        <f>8.33*AE1460</f>
        <v>1388.3333333333333</v>
      </c>
    </row>
    <row r="1461" spans="1:36" x14ac:dyDescent="0.2">
      <c r="A1461">
        <v>-77</v>
      </c>
      <c r="B1461" s="10" t="s">
        <v>91</v>
      </c>
      <c r="C1461" s="11" t="s">
        <v>2074</v>
      </c>
      <c r="D1461" s="7" t="s">
        <v>2858</v>
      </c>
      <c r="E1461" s="13">
        <v>7</v>
      </c>
      <c r="F1461" s="13">
        <v>10</v>
      </c>
      <c r="G1461" s="13">
        <f t="shared" si="59"/>
        <v>273</v>
      </c>
      <c r="H1461" s="13">
        <v>78</v>
      </c>
      <c r="I1461" s="14">
        <f t="shared" si="60"/>
        <v>-77.232876712328761</v>
      </c>
      <c r="J1461" s="7" t="s">
        <v>2859</v>
      </c>
      <c r="T1461" s="8"/>
      <c r="Y1461">
        <v>5.5</v>
      </c>
      <c r="Z1461" s="17">
        <v>5.5</v>
      </c>
      <c r="AA1461" s="16">
        <f>1000/Z1461</f>
        <v>181.81818181818181</v>
      </c>
      <c r="AB1461" s="16">
        <f>8.33*AA1461</f>
        <v>1514.5454545454545</v>
      </c>
    </row>
    <row r="1462" spans="1:36" x14ac:dyDescent="0.2">
      <c r="A1462">
        <v>-77</v>
      </c>
      <c r="B1462" s="10" t="s">
        <v>91</v>
      </c>
      <c r="C1462" s="11" t="s">
        <v>42</v>
      </c>
      <c r="D1462" s="26" t="s">
        <v>2860</v>
      </c>
      <c r="E1462" s="13">
        <v>11</v>
      </c>
      <c r="F1462" s="13">
        <v>10</v>
      </c>
      <c r="G1462" s="13">
        <f t="shared" si="59"/>
        <v>273</v>
      </c>
      <c r="H1462" s="13">
        <v>78</v>
      </c>
      <c r="I1462" s="14">
        <f t="shared" si="60"/>
        <v>-77.221917808219175</v>
      </c>
      <c r="J1462" s="26" t="s">
        <v>2857</v>
      </c>
      <c r="T1462" s="8"/>
    </row>
    <row r="1463" spans="1:36" x14ac:dyDescent="0.2">
      <c r="A1463">
        <v>-77</v>
      </c>
      <c r="B1463" s="10" t="s">
        <v>91</v>
      </c>
      <c r="C1463" s="11" t="s">
        <v>2458</v>
      </c>
      <c r="D1463" s="7" t="s">
        <v>2860</v>
      </c>
      <c r="E1463" s="13">
        <v>11</v>
      </c>
      <c r="F1463" s="13">
        <v>10</v>
      </c>
      <c r="G1463" s="13">
        <f t="shared" si="59"/>
        <v>273</v>
      </c>
      <c r="H1463" s="13">
        <v>78</v>
      </c>
      <c r="I1463" s="14">
        <f t="shared" si="60"/>
        <v>-77.221917808219175</v>
      </c>
      <c r="J1463" s="7" t="s">
        <v>2859</v>
      </c>
      <c r="P1463" t="s">
        <v>2861</v>
      </c>
      <c r="T1463" s="8"/>
    </row>
    <row r="1464" spans="1:36" x14ac:dyDescent="0.2">
      <c r="A1464">
        <v>-77</v>
      </c>
      <c r="B1464" s="10" t="s">
        <v>91</v>
      </c>
      <c r="C1464" s="11" t="s">
        <v>45</v>
      </c>
      <c r="D1464" s="26" t="s">
        <v>2862</v>
      </c>
      <c r="E1464" s="13">
        <v>21</v>
      </c>
      <c r="F1464" s="13">
        <v>10</v>
      </c>
      <c r="G1464" s="13">
        <f t="shared" si="59"/>
        <v>273</v>
      </c>
      <c r="H1464" s="13">
        <v>78</v>
      </c>
      <c r="I1464" s="14">
        <f t="shared" si="60"/>
        <v>-77.194520547945203</v>
      </c>
      <c r="J1464" s="26" t="s">
        <v>2859</v>
      </c>
      <c r="T1464" s="8"/>
    </row>
    <row r="1465" spans="1:36" x14ac:dyDescent="0.2">
      <c r="A1465">
        <v>-77</v>
      </c>
      <c r="B1465" s="10" t="s">
        <v>91</v>
      </c>
      <c r="C1465" s="11" t="s">
        <v>2863</v>
      </c>
      <c r="D1465" s="7" t="s">
        <v>2862</v>
      </c>
      <c r="E1465" s="13">
        <v>21</v>
      </c>
      <c r="F1465" s="13">
        <v>10</v>
      </c>
      <c r="G1465" s="13">
        <f t="shared" si="59"/>
        <v>273</v>
      </c>
      <c r="H1465" s="13">
        <v>78</v>
      </c>
      <c r="I1465" s="14">
        <f t="shared" si="60"/>
        <v>-77.194520547945203</v>
      </c>
      <c r="J1465" s="7"/>
      <c r="T1465" s="8"/>
      <c r="Y1465" t="s">
        <v>41</v>
      </c>
    </row>
    <row r="1466" spans="1:36" x14ac:dyDescent="0.2">
      <c r="A1466">
        <v>-77</v>
      </c>
      <c r="B1466" s="10" t="s">
        <v>94</v>
      </c>
      <c r="D1466" s="15" t="s">
        <v>2864</v>
      </c>
      <c r="E1466" s="13">
        <v>31</v>
      </c>
      <c r="F1466" s="13">
        <v>10</v>
      </c>
      <c r="G1466" s="13">
        <f t="shared" si="59"/>
        <v>273</v>
      </c>
      <c r="H1466" s="13">
        <v>78</v>
      </c>
      <c r="I1466" s="14">
        <f t="shared" si="60"/>
        <v>-77.167123287671231</v>
      </c>
      <c r="J1466" s="26" t="s">
        <v>2865</v>
      </c>
      <c r="K1466" s="2" t="s">
        <v>2828</v>
      </c>
      <c r="L1466" s="8"/>
      <c r="T1466" s="8"/>
      <c r="AG1466" s="1">
        <v>0.67</v>
      </c>
      <c r="AH1466" s="9">
        <v>0.67</v>
      </c>
      <c r="AI1466" s="8">
        <f>1/AH1466</f>
        <v>1.4925373134328357</v>
      </c>
      <c r="AJ1466" s="8">
        <f>8.33*AI1466</f>
        <v>12.432835820895521</v>
      </c>
    </row>
    <row r="1467" spans="1:36" x14ac:dyDescent="0.2">
      <c r="A1467">
        <v>-77</v>
      </c>
      <c r="B1467" s="10" t="s">
        <v>94</v>
      </c>
      <c r="C1467" s="11" t="s">
        <v>39</v>
      </c>
      <c r="D1467" s="15" t="s">
        <v>2864</v>
      </c>
      <c r="E1467" s="13">
        <v>31</v>
      </c>
      <c r="F1467" s="13">
        <v>10</v>
      </c>
      <c r="G1467" s="13">
        <f t="shared" si="59"/>
        <v>273</v>
      </c>
      <c r="H1467" s="13">
        <v>78</v>
      </c>
      <c r="I1467" s="14">
        <f t="shared" si="60"/>
        <v>-77.167123287671231</v>
      </c>
      <c r="J1467" s="26">
        <v>28803</v>
      </c>
      <c r="T1467" s="8"/>
    </row>
    <row r="1468" spans="1:36" x14ac:dyDescent="0.2">
      <c r="A1468">
        <v>-77</v>
      </c>
      <c r="B1468" s="10" t="s">
        <v>94</v>
      </c>
      <c r="C1468" s="11" t="s">
        <v>2866</v>
      </c>
      <c r="D1468" s="7" t="s">
        <v>2864</v>
      </c>
      <c r="E1468" s="13">
        <v>31</v>
      </c>
      <c r="F1468" s="13">
        <v>10</v>
      </c>
      <c r="G1468" s="13">
        <f t="shared" si="59"/>
        <v>273</v>
      </c>
      <c r="H1468" s="13">
        <v>78</v>
      </c>
      <c r="I1468" s="14">
        <f t="shared" si="60"/>
        <v>-77.167123287671231</v>
      </c>
      <c r="J1468" s="7" t="s">
        <v>2867</v>
      </c>
      <c r="T1468" s="8"/>
      <c r="AC1468">
        <v>6</v>
      </c>
      <c r="AD1468" s="17">
        <v>6</v>
      </c>
      <c r="AE1468" s="16">
        <f>1000/AD1468</f>
        <v>166.66666666666666</v>
      </c>
      <c r="AF1468" s="16">
        <f>8.33*AE1468</f>
        <v>1388.3333333333333</v>
      </c>
    </row>
    <row r="1469" spans="1:36" x14ac:dyDescent="0.2">
      <c r="A1469">
        <v>-77</v>
      </c>
      <c r="B1469" s="10" t="s">
        <v>94</v>
      </c>
      <c r="C1469" s="11" t="s">
        <v>2254</v>
      </c>
      <c r="D1469" s="7" t="s">
        <v>2864</v>
      </c>
      <c r="E1469" s="13">
        <v>31</v>
      </c>
      <c r="F1469" s="13">
        <v>10</v>
      </c>
      <c r="G1469" s="13">
        <f t="shared" si="59"/>
        <v>273</v>
      </c>
      <c r="H1469" s="13">
        <v>78</v>
      </c>
      <c r="I1469" s="14">
        <f t="shared" si="60"/>
        <v>-77.167123287671231</v>
      </c>
      <c r="J1469" s="7" t="s">
        <v>2868</v>
      </c>
      <c r="P1469">
        <v>55.5</v>
      </c>
      <c r="Q1469" s="17">
        <v>55.5</v>
      </c>
      <c r="R1469" s="16">
        <f>1000/Q1469</f>
        <v>18.018018018018019</v>
      </c>
      <c r="S1469" s="16">
        <f>8.33*R1469</f>
        <v>150.09009009009009</v>
      </c>
      <c r="T1469" s="16">
        <f>S1469*1.33</f>
        <v>199.61981981981984</v>
      </c>
    </row>
    <row r="1470" spans="1:36" x14ac:dyDescent="0.2">
      <c r="A1470">
        <v>-77</v>
      </c>
      <c r="B1470" s="10" t="s">
        <v>94</v>
      </c>
      <c r="C1470" s="11" t="s">
        <v>2869</v>
      </c>
      <c r="D1470" s="7" t="s">
        <v>2867</v>
      </c>
      <c r="E1470" s="13">
        <v>8</v>
      </c>
      <c r="F1470" s="13">
        <v>11</v>
      </c>
      <c r="G1470" s="13">
        <f t="shared" si="59"/>
        <v>304</v>
      </c>
      <c r="H1470" s="13">
        <v>78</v>
      </c>
      <c r="I1470" s="14">
        <f t="shared" si="60"/>
        <v>-77.145205479452059</v>
      </c>
      <c r="J1470" s="7" t="s">
        <v>2865</v>
      </c>
      <c r="T1470" s="8"/>
      <c r="AC1470">
        <v>6.25</v>
      </c>
      <c r="AD1470" s="17">
        <v>6.25</v>
      </c>
      <c r="AE1470" s="16">
        <f>1000/AD1470</f>
        <v>160</v>
      </c>
      <c r="AF1470" s="16">
        <f>8.33*AE1470</f>
        <v>1332.8</v>
      </c>
    </row>
    <row r="1471" spans="1:36" x14ac:dyDescent="0.2">
      <c r="A1471">
        <v>-77</v>
      </c>
      <c r="B1471" s="10" t="s">
        <v>94</v>
      </c>
      <c r="C1471" s="11" t="s">
        <v>42</v>
      </c>
      <c r="D1471" s="15" t="s">
        <v>2868</v>
      </c>
      <c r="E1471" s="13">
        <v>10</v>
      </c>
      <c r="F1471" s="13">
        <v>11</v>
      </c>
      <c r="G1471" s="13">
        <f t="shared" si="59"/>
        <v>304</v>
      </c>
      <c r="H1471" s="13">
        <v>78</v>
      </c>
      <c r="I1471" s="14">
        <f t="shared" si="60"/>
        <v>-77.139726027397259</v>
      </c>
      <c r="J1471" s="26" t="s">
        <v>2870</v>
      </c>
      <c r="T1471" s="8"/>
    </row>
    <row r="1472" spans="1:36" x14ac:dyDescent="0.2">
      <c r="A1472">
        <v>-77</v>
      </c>
      <c r="B1472" s="10" t="s">
        <v>94</v>
      </c>
      <c r="C1472" s="11" t="s">
        <v>2458</v>
      </c>
      <c r="D1472" s="7" t="s">
        <v>2868</v>
      </c>
      <c r="E1472" s="13">
        <v>10</v>
      </c>
      <c r="F1472" s="13">
        <v>11</v>
      </c>
      <c r="G1472" s="13">
        <f t="shared" si="59"/>
        <v>304</v>
      </c>
      <c r="H1472" s="13">
        <v>78</v>
      </c>
      <c r="I1472" s="14">
        <f t="shared" si="60"/>
        <v>-77.139726027397259</v>
      </c>
      <c r="J1472" s="7" t="s">
        <v>2865</v>
      </c>
      <c r="P1472" t="s">
        <v>2871</v>
      </c>
      <c r="Q1472" s="20">
        <v>56</v>
      </c>
      <c r="R1472" s="16">
        <f>1000/Q1472</f>
        <v>17.857142857142858</v>
      </c>
      <c r="S1472" s="16">
        <f>8.33*R1472</f>
        <v>148.75</v>
      </c>
      <c r="T1472" s="16">
        <f>S1472*1.33</f>
        <v>197.83750000000001</v>
      </c>
    </row>
    <row r="1473" spans="1:37" x14ac:dyDescent="0.2">
      <c r="A1473">
        <v>-77</v>
      </c>
      <c r="B1473" s="10" t="s">
        <v>94</v>
      </c>
      <c r="C1473" s="11" t="s">
        <v>45</v>
      </c>
      <c r="D1473" s="15" t="s">
        <v>2872</v>
      </c>
      <c r="E1473" s="13">
        <v>20</v>
      </c>
      <c r="F1473" s="13">
        <v>11</v>
      </c>
      <c r="G1473" s="13">
        <f t="shared" si="59"/>
        <v>304</v>
      </c>
      <c r="H1473" s="13">
        <v>78</v>
      </c>
      <c r="I1473" s="14">
        <f t="shared" si="60"/>
        <v>-77.112328767123287</v>
      </c>
      <c r="J1473" s="26" t="s">
        <v>2865</v>
      </c>
      <c r="T1473" s="8"/>
    </row>
    <row r="1474" spans="1:37" x14ac:dyDescent="0.2">
      <c r="A1474">
        <v>-77</v>
      </c>
      <c r="B1474" s="10" t="s">
        <v>83</v>
      </c>
      <c r="D1474" s="15" t="s">
        <v>2873</v>
      </c>
      <c r="E1474" s="13">
        <v>27</v>
      </c>
      <c r="F1474" s="13">
        <v>1</v>
      </c>
      <c r="G1474" s="13">
        <f t="shared" ref="G1474:G1499" si="61">INDEX(A$1502:A$1513,F1474)</f>
        <v>0</v>
      </c>
      <c r="H1474" s="13">
        <v>77</v>
      </c>
      <c r="I1474" s="14">
        <f t="shared" si="60"/>
        <v>-76.92602739726027</v>
      </c>
      <c r="J1474" s="26" t="s">
        <v>2874</v>
      </c>
      <c r="T1474" s="8"/>
      <c r="U1474" s="1">
        <v>180</v>
      </c>
      <c r="V1474" s="9">
        <v>180</v>
      </c>
      <c r="W1474" s="8">
        <f>1000/V1474</f>
        <v>5.5555555555555554</v>
      </c>
      <c r="X1474" s="8">
        <f>8.33*W1474</f>
        <v>46.277777777777779</v>
      </c>
    </row>
    <row r="1475" spans="1:37" x14ac:dyDescent="0.2">
      <c r="A1475">
        <v>-77</v>
      </c>
      <c r="B1475" s="10" t="s">
        <v>83</v>
      </c>
      <c r="C1475" s="11" t="s">
        <v>39</v>
      </c>
      <c r="D1475" s="15" t="s">
        <v>2873</v>
      </c>
      <c r="E1475" s="13">
        <v>27</v>
      </c>
      <c r="F1475" s="13">
        <v>1</v>
      </c>
      <c r="G1475" s="13">
        <f t="shared" si="61"/>
        <v>0</v>
      </c>
      <c r="H1475" s="13">
        <v>77</v>
      </c>
      <c r="I1475" s="14">
        <f t="shared" ref="I1475:I1499" si="62">($E1475+$G1475)/365-$H1475</f>
        <v>-76.92602739726027</v>
      </c>
      <c r="J1475" s="26" t="s">
        <v>2875</v>
      </c>
      <c r="T1475" s="8"/>
      <c r="Y1475">
        <v>5.25</v>
      </c>
      <c r="Z1475" s="17">
        <v>5.25</v>
      </c>
      <c r="AA1475" s="16">
        <f>1000/Z1475</f>
        <v>190.47619047619048</v>
      </c>
      <c r="AB1475" s="16">
        <f>8.33*AA1475</f>
        <v>1586.6666666666667</v>
      </c>
      <c r="AC1475" t="s">
        <v>41</v>
      </c>
    </row>
    <row r="1476" spans="1:37" x14ac:dyDescent="0.2">
      <c r="A1476">
        <v>-77</v>
      </c>
      <c r="B1476" s="10" t="s">
        <v>83</v>
      </c>
      <c r="C1476" s="11" t="s">
        <v>2254</v>
      </c>
      <c r="D1476" s="7" t="s">
        <v>2873</v>
      </c>
      <c r="E1476" s="13">
        <v>27</v>
      </c>
      <c r="F1476" s="13">
        <v>1</v>
      </c>
      <c r="G1476" s="13">
        <f t="shared" si="61"/>
        <v>0</v>
      </c>
      <c r="H1476" s="13">
        <v>77</v>
      </c>
      <c r="I1476" s="14">
        <f t="shared" si="62"/>
        <v>-76.92602739726027</v>
      </c>
      <c r="J1476" s="7" t="s">
        <v>2875</v>
      </c>
      <c r="P1476">
        <v>48</v>
      </c>
      <c r="Q1476" s="17">
        <v>48</v>
      </c>
      <c r="R1476" s="16">
        <f>1000/Q1476</f>
        <v>20.833333333333332</v>
      </c>
      <c r="S1476" s="16">
        <f>8.33*R1476</f>
        <v>173.54166666666666</v>
      </c>
      <c r="T1476" s="16">
        <f>S1476*1.33</f>
        <v>230.81041666666667</v>
      </c>
    </row>
    <row r="1477" spans="1:37" x14ac:dyDescent="0.2">
      <c r="A1477">
        <v>-77</v>
      </c>
      <c r="B1477" s="10" t="s">
        <v>83</v>
      </c>
      <c r="C1477" s="11" t="s">
        <v>42</v>
      </c>
      <c r="D1477" s="15" t="s">
        <v>2876</v>
      </c>
      <c r="E1477" s="13">
        <v>6</v>
      </c>
      <c r="F1477" s="13">
        <v>2</v>
      </c>
      <c r="G1477" s="13">
        <f t="shared" si="61"/>
        <v>31</v>
      </c>
      <c r="H1477" s="13">
        <v>77</v>
      </c>
      <c r="I1477" s="14">
        <f t="shared" si="62"/>
        <v>-76.898630136986299</v>
      </c>
      <c r="J1477" s="26" t="s">
        <v>2877</v>
      </c>
    </row>
    <row r="1478" spans="1:37" x14ac:dyDescent="0.2">
      <c r="A1478">
        <v>-77</v>
      </c>
      <c r="B1478" s="10" t="s">
        <v>83</v>
      </c>
      <c r="C1478" s="11" t="s">
        <v>2458</v>
      </c>
      <c r="D1478" s="7" t="s">
        <v>2876</v>
      </c>
      <c r="E1478" s="13">
        <v>6</v>
      </c>
      <c r="F1478" s="13">
        <v>2</v>
      </c>
      <c r="G1478" s="13">
        <f t="shared" si="61"/>
        <v>31</v>
      </c>
      <c r="H1478" s="13">
        <v>77</v>
      </c>
      <c r="I1478" s="14">
        <f t="shared" si="62"/>
        <v>-76.898630136986299</v>
      </c>
      <c r="J1478" s="7" t="s">
        <v>2874</v>
      </c>
      <c r="P1478" t="s">
        <v>2878</v>
      </c>
      <c r="Q1478" s="17">
        <v>45</v>
      </c>
      <c r="R1478" s="16">
        <f>1000/Q1478</f>
        <v>22.222222222222221</v>
      </c>
      <c r="S1478" s="16">
        <f>8.33*R1478</f>
        <v>185.11111111111111</v>
      </c>
      <c r="T1478" s="16">
        <f>S1478*1.33</f>
        <v>246.19777777777779</v>
      </c>
    </row>
    <row r="1479" spans="1:37" x14ac:dyDescent="0.2">
      <c r="A1479">
        <v>-77</v>
      </c>
      <c r="B1479" s="10" t="s">
        <v>83</v>
      </c>
      <c r="C1479" s="11" t="s">
        <v>45</v>
      </c>
      <c r="D1479" s="15" t="s">
        <v>2879</v>
      </c>
      <c r="E1479" s="13">
        <v>16</v>
      </c>
      <c r="F1479" s="13">
        <v>2</v>
      </c>
      <c r="G1479" s="13">
        <f t="shared" si="61"/>
        <v>31</v>
      </c>
      <c r="H1479" s="13">
        <v>77</v>
      </c>
      <c r="I1479" s="14">
        <f t="shared" si="62"/>
        <v>-76.871232876712327</v>
      </c>
      <c r="J1479" s="26" t="s">
        <v>2874</v>
      </c>
      <c r="T1479" s="8"/>
    </row>
    <row r="1480" spans="1:37" x14ac:dyDescent="0.2">
      <c r="A1480">
        <v>-75</v>
      </c>
      <c r="B1480" s="10" t="s">
        <v>36</v>
      </c>
      <c r="D1480" s="15" t="s">
        <v>2880</v>
      </c>
      <c r="E1480" s="13">
        <v>6</v>
      </c>
      <c r="F1480" s="13">
        <v>12</v>
      </c>
      <c r="G1480" s="13">
        <f t="shared" si="61"/>
        <v>334</v>
      </c>
      <c r="H1480" s="13">
        <v>76</v>
      </c>
      <c r="I1480" s="14">
        <f t="shared" si="62"/>
        <v>-75.06849315068493</v>
      </c>
      <c r="J1480" s="26" t="s">
        <v>2881</v>
      </c>
      <c r="K1480" s="10">
        <v>48.25</v>
      </c>
      <c r="L1480" s="16">
        <v>48.25</v>
      </c>
      <c r="M1480" s="16">
        <f>1000/L1480</f>
        <v>20.725388601036268</v>
      </c>
      <c r="N1480" s="16">
        <f>8.33*M1480</f>
        <v>172.64248704663211</v>
      </c>
      <c r="O1480" s="16">
        <f>1.613*N1480</f>
        <v>278.47233160621761</v>
      </c>
      <c r="T1480" s="8"/>
    </row>
    <row r="1481" spans="1:37" x14ac:dyDescent="0.2">
      <c r="A1481">
        <v>-73</v>
      </c>
      <c r="B1481" s="10" t="s">
        <v>65</v>
      </c>
      <c r="D1481" s="15" t="s">
        <v>2882</v>
      </c>
      <c r="E1481" s="13">
        <v>20</v>
      </c>
      <c r="F1481" s="13">
        <v>6</v>
      </c>
      <c r="G1481" s="13">
        <f t="shared" si="61"/>
        <v>151</v>
      </c>
      <c r="H1481" s="13">
        <v>74</v>
      </c>
      <c r="I1481" s="14">
        <f t="shared" si="62"/>
        <v>-73.531506849315065</v>
      </c>
      <c r="J1481" s="26" t="s">
        <v>2883</v>
      </c>
      <c r="T1481" s="8"/>
      <c r="AG1481" s="1">
        <v>0.75</v>
      </c>
      <c r="AH1481" s="9">
        <v>0.75</v>
      </c>
      <c r="AI1481" s="8">
        <f>1/AH1481</f>
        <v>1.3333333333333333</v>
      </c>
      <c r="AJ1481" s="8">
        <f>8.33*AI1481</f>
        <v>11.106666666666666</v>
      </c>
    </row>
    <row r="1482" spans="1:37" x14ac:dyDescent="0.2">
      <c r="A1482">
        <v>-73</v>
      </c>
      <c r="B1482" s="10" t="s">
        <v>65</v>
      </c>
      <c r="C1482" s="11" t="s">
        <v>39</v>
      </c>
      <c r="D1482" s="15" t="s">
        <v>2882</v>
      </c>
      <c r="E1482" s="13">
        <v>20</v>
      </c>
      <c r="F1482" s="13">
        <v>6</v>
      </c>
      <c r="G1482" s="13">
        <f t="shared" si="61"/>
        <v>151</v>
      </c>
      <c r="H1482" s="13">
        <v>74</v>
      </c>
      <c r="I1482" s="14">
        <f t="shared" si="62"/>
        <v>-73.531506849315065</v>
      </c>
      <c r="J1482" s="26" t="s">
        <v>2884</v>
      </c>
      <c r="K1482" s="10" t="s">
        <v>2885</v>
      </c>
      <c r="L1482" s="19">
        <v>81</v>
      </c>
      <c r="M1482" s="19">
        <f>1000/L1482</f>
        <v>12.345679012345679</v>
      </c>
      <c r="N1482" s="19">
        <f>8.33*M1482</f>
        <v>102.83950617283951</v>
      </c>
      <c r="O1482" s="19">
        <f>1.613*N1482</f>
        <v>165.88012345679013</v>
      </c>
      <c r="T1482" s="8"/>
      <c r="AK1482" t="s">
        <v>2886</v>
      </c>
    </row>
    <row r="1483" spans="1:37" x14ac:dyDescent="0.2">
      <c r="A1483">
        <v>-73</v>
      </c>
      <c r="B1483" s="10" t="s">
        <v>65</v>
      </c>
      <c r="C1483" s="11" t="s">
        <v>2514</v>
      </c>
      <c r="D1483" s="7" t="s">
        <v>2882</v>
      </c>
      <c r="E1483" s="13">
        <v>20</v>
      </c>
      <c r="F1483" s="13">
        <v>6</v>
      </c>
      <c r="G1483" s="13">
        <f t="shared" si="61"/>
        <v>151</v>
      </c>
      <c r="H1483" s="13">
        <v>74</v>
      </c>
      <c r="I1483" s="14">
        <f t="shared" si="62"/>
        <v>-73.531506849315065</v>
      </c>
      <c r="J1483" s="7" t="s">
        <v>2887</v>
      </c>
      <c r="P1483">
        <v>49</v>
      </c>
      <c r="Q1483" s="17">
        <v>49</v>
      </c>
      <c r="R1483" s="16">
        <f>1000/Q1483</f>
        <v>20.408163265306122</v>
      </c>
      <c r="S1483" s="16">
        <f>8.33*R1483</f>
        <v>170</v>
      </c>
      <c r="T1483" s="16">
        <f>S1483*1.33</f>
        <v>226.10000000000002</v>
      </c>
    </row>
    <row r="1484" spans="1:37" x14ac:dyDescent="0.2">
      <c r="A1484">
        <v>-73</v>
      </c>
      <c r="B1484" s="10" t="s">
        <v>65</v>
      </c>
      <c r="C1484" s="11" t="s">
        <v>2269</v>
      </c>
      <c r="D1484" s="7" t="s">
        <v>2888</v>
      </c>
      <c r="E1484" s="13">
        <v>27</v>
      </c>
      <c r="F1484" s="13">
        <v>6</v>
      </c>
      <c r="G1484" s="13">
        <f t="shared" si="61"/>
        <v>151</v>
      </c>
      <c r="H1484" s="13">
        <v>74</v>
      </c>
      <c r="I1484" s="14">
        <f t="shared" si="62"/>
        <v>-73.512328767123293</v>
      </c>
      <c r="J1484" s="7" t="s">
        <v>2883</v>
      </c>
      <c r="P1484" t="s">
        <v>41</v>
      </c>
    </row>
    <row r="1485" spans="1:37" x14ac:dyDescent="0.2">
      <c r="A1485">
        <v>-73</v>
      </c>
      <c r="B1485" s="10" t="s">
        <v>65</v>
      </c>
      <c r="C1485" s="11" t="s">
        <v>42</v>
      </c>
      <c r="D1485" s="15" t="s">
        <v>2884</v>
      </c>
      <c r="E1485" s="13">
        <v>30</v>
      </c>
      <c r="F1485" s="13">
        <v>6</v>
      </c>
      <c r="G1485" s="13">
        <f t="shared" si="61"/>
        <v>151</v>
      </c>
      <c r="H1485" s="13">
        <v>74</v>
      </c>
      <c r="I1485" s="14">
        <f t="shared" si="62"/>
        <v>-73.504109589041093</v>
      </c>
      <c r="J1485" s="26" t="s">
        <v>2889</v>
      </c>
    </row>
    <row r="1486" spans="1:37" x14ac:dyDescent="0.2">
      <c r="A1486">
        <v>-73</v>
      </c>
      <c r="B1486" s="10" t="s">
        <v>65</v>
      </c>
      <c r="C1486" s="11" t="s">
        <v>45</v>
      </c>
      <c r="D1486" s="15" t="s">
        <v>2890</v>
      </c>
      <c r="E1486" s="13">
        <v>10</v>
      </c>
      <c r="F1486" s="13">
        <v>7</v>
      </c>
      <c r="G1486" s="13">
        <f t="shared" si="61"/>
        <v>181</v>
      </c>
      <c r="H1486" s="13">
        <v>74</v>
      </c>
      <c r="I1486" s="14">
        <f t="shared" si="62"/>
        <v>-73.476712328767121</v>
      </c>
      <c r="J1486" s="26" t="s">
        <v>2883</v>
      </c>
    </row>
    <row r="1487" spans="1:37" x14ac:dyDescent="0.2">
      <c r="A1487">
        <v>-72</v>
      </c>
      <c r="B1487" s="10" t="s">
        <v>94</v>
      </c>
      <c r="D1487" s="15" t="s">
        <v>2891</v>
      </c>
      <c r="E1487" s="13">
        <v>4</v>
      </c>
      <c r="F1487" s="13">
        <v>11</v>
      </c>
      <c r="G1487" s="13">
        <f t="shared" si="61"/>
        <v>304</v>
      </c>
      <c r="H1487" s="13">
        <v>73</v>
      </c>
      <c r="I1487" s="14">
        <f t="shared" si="62"/>
        <v>-72.156164383561645</v>
      </c>
      <c r="J1487" s="26" t="s">
        <v>2892</v>
      </c>
      <c r="P1487">
        <v>67.5</v>
      </c>
      <c r="Q1487" s="17">
        <v>67.5</v>
      </c>
      <c r="R1487" s="16">
        <f>1000/Q1487</f>
        <v>14.814814814814815</v>
      </c>
      <c r="S1487" s="16">
        <f>8.33*R1487</f>
        <v>123.4074074074074</v>
      </c>
      <c r="T1487" s="16">
        <f>S1487*1.33</f>
        <v>164.13185185185185</v>
      </c>
      <c r="U1487" s="1">
        <v>270</v>
      </c>
      <c r="V1487" s="9">
        <v>270</v>
      </c>
      <c r="W1487" s="8">
        <f>1000/V1487</f>
        <v>3.7037037037037037</v>
      </c>
      <c r="X1487" s="8">
        <f>8.33*W1487</f>
        <v>30.851851851851851</v>
      </c>
      <c r="Y1487" t="s">
        <v>41</v>
      </c>
    </row>
    <row r="1488" spans="1:37" x14ac:dyDescent="0.2">
      <c r="A1488">
        <v>-62</v>
      </c>
      <c r="B1488" s="10" t="s">
        <v>60</v>
      </c>
      <c r="D1488" s="15" t="s">
        <v>2893</v>
      </c>
      <c r="E1488" s="13">
        <v>21</v>
      </c>
      <c r="F1488" s="13">
        <v>4</v>
      </c>
      <c r="G1488" s="13">
        <f t="shared" si="61"/>
        <v>90</v>
      </c>
      <c r="H1488" s="13">
        <v>63</v>
      </c>
      <c r="I1488" s="14">
        <f t="shared" si="62"/>
        <v>-62.695890410958903</v>
      </c>
      <c r="J1488" s="26" t="s">
        <v>2894</v>
      </c>
      <c r="K1488" s="10" t="s">
        <v>1118</v>
      </c>
      <c r="U1488" s="1">
        <v>171.75</v>
      </c>
      <c r="V1488" s="9">
        <v>171.75</v>
      </c>
      <c r="W1488" s="8">
        <f>1000/V1488</f>
        <v>5.8224163027656477</v>
      </c>
      <c r="X1488" s="8">
        <f>8.33*W1488</f>
        <v>48.500727802037844</v>
      </c>
      <c r="AK1488" t="s">
        <v>2895</v>
      </c>
    </row>
    <row r="1489" spans="1:37" x14ac:dyDescent="0.2">
      <c r="A1489">
        <v>-60</v>
      </c>
      <c r="B1489" s="10" t="s">
        <v>94</v>
      </c>
      <c r="C1489" s="11" t="s">
        <v>39</v>
      </c>
      <c r="D1489" s="15" t="s">
        <v>2896</v>
      </c>
      <c r="E1489" s="13">
        <v>22</v>
      </c>
      <c r="F1489" s="13">
        <v>10</v>
      </c>
      <c r="G1489" s="13">
        <f t="shared" si="61"/>
        <v>273</v>
      </c>
      <c r="H1489" s="13">
        <v>61</v>
      </c>
      <c r="I1489" s="14">
        <f t="shared" si="62"/>
        <v>-60.19178082191781</v>
      </c>
      <c r="J1489" s="26" t="s">
        <v>2897</v>
      </c>
      <c r="U1489" s="1"/>
      <c r="V1489" s="9"/>
    </row>
    <row r="1490" spans="1:37" x14ac:dyDescent="0.2">
      <c r="A1490">
        <v>-60</v>
      </c>
      <c r="B1490" s="10" t="s">
        <v>94</v>
      </c>
      <c r="C1490" s="11" t="s">
        <v>2898</v>
      </c>
      <c r="D1490" s="25" t="s">
        <v>2899</v>
      </c>
      <c r="E1490" s="13">
        <v>28</v>
      </c>
      <c r="F1490" s="13">
        <v>10</v>
      </c>
      <c r="G1490" s="13">
        <f t="shared" si="61"/>
        <v>273</v>
      </c>
      <c r="H1490" s="13">
        <v>61</v>
      </c>
      <c r="I1490" s="14">
        <f t="shared" si="62"/>
        <v>-60.175342465753424</v>
      </c>
      <c r="J1490" s="7" t="s">
        <v>2900</v>
      </c>
      <c r="K1490" s="10">
        <v>32.5</v>
      </c>
      <c r="L1490" s="16">
        <v>32.5</v>
      </c>
      <c r="M1490" s="16">
        <f>1000/L1490</f>
        <v>30.76923076923077</v>
      </c>
      <c r="N1490" s="16">
        <f>8.33*M1490</f>
        <v>256.30769230769232</v>
      </c>
      <c r="O1490" s="16">
        <f>1.613*N1490</f>
        <v>413.42430769230771</v>
      </c>
      <c r="AK1490" t="s">
        <v>2901</v>
      </c>
    </row>
    <row r="1491" spans="1:37" x14ac:dyDescent="0.2">
      <c r="A1491">
        <v>-60</v>
      </c>
      <c r="B1491" s="10" t="s">
        <v>94</v>
      </c>
      <c r="C1491" s="11" t="s">
        <v>2902</v>
      </c>
      <c r="D1491" s="15" t="s">
        <v>2897</v>
      </c>
      <c r="E1491" s="13">
        <v>30</v>
      </c>
      <c r="F1491" s="13">
        <v>10</v>
      </c>
      <c r="G1491" s="13">
        <f t="shared" si="61"/>
        <v>273</v>
      </c>
      <c r="H1491" s="13">
        <v>61</v>
      </c>
      <c r="I1491" s="14">
        <f t="shared" si="62"/>
        <v>-60.169863013698631</v>
      </c>
      <c r="J1491" s="7" t="s">
        <v>2903</v>
      </c>
      <c r="K1491" s="10">
        <v>31.25</v>
      </c>
      <c r="L1491" s="16">
        <v>31.25</v>
      </c>
      <c r="M1491" s="16">
        <f>1000/L1491</f>
        <v>32</v>
      </c>
      <c r="N1491" s="16">
        <f>8.33*M1491</f>
        <v>266.56</v>
      </c>
      <c r="O1491" s="16">
        <f>1.613*N1491</f>
        <v>429.96127999999999</v>
      </c>
      <c r="AK1491" t="s">
        <v>2901</v>
      </c>
    </row>
    <row r="1492" spans="1:37" x14ac:dyDescent="0.2">
      <c r="A1492">
        <v>-60</v>
      </c>
      <c r="B1492" s="10" t="s">
        <v>94</v>
      </c>
      <c r="C1492" s="11" t="s">
        <v>42</v>
      </c>
      <c r="D1492" s="15" t="s">
        <v>2904</v>
      </c>
      <c r="E1492" s="13">
        <v>1</v>
      </c>
      <c r="F1492" s="13">
        <v>11</v>
      </c>
      <c r="G1492" s="13">
        <f t="shared" si="61"/>
        <v>304</v>
      </c>
      <c r="H1492" s="13">
        <v>61</v>
      </c>
      <c r="I1492" s="14">
        <f t="shared" si="62"/>
        <v>-60.164383561643838</v>
      </c>
      <c r="J1492" s="26" t="s">
        <v>2905</v>
      </c>
    </row>
    <row r="1493" spans="1:37" x14ac:dyDescent="0.2">
      <c r="A1493">
        <v>-60</v>
      </c>
      <c r="B1493" s="10" t="s">
        <v>94</v>
      </c>
      <c r="C1493" s="11" t="s">
        <v>2906</v>
      </c>
      <c r="D1493" s="15" t="s">
        <v>2904</v>
      </c>
      <c r="E1493" s="13">
        <v>1</v>
      </c>
      <c r="F1493" s="13">
        <v>11</v>
      </c>
      <c r="G1493" s="13">
        <f t="shared" si="61"/>
        <v>304</v>
      </c>
      <c r="H1493" s="13">
        <v>61</v>
      </c>
      <c r="I1493" s="14">
        <f t="shared" si="62"/>
        <v>-60.164383561643838</v>
      </c>
      <c r="J1493" s="7"/>
      <c r="K1493" s="10" t="s">
        <v>41</v>
      </c>
    </row>
    <row r="1494" spans="1:37" x14ac:dyDescent="0.2">
      <c r="A1494">
        <v>-60</v>
      </c>
      <c r="B1494" s="10" t="s">
        <v>94</v>
      </c>
      <c r="C1494" s="11" t="s">
        <v>45</v>
      </c>
      <c r="D1494" s="15" t="s">
        <v>2907</v>
      </c>
      <c r="E1494" s="13">
        <v>11</v>
      </c>
      <c r="F1494" s="13">
        <v>11</v>
      </c>
      <c r="G1494" s="13">
        <f t="shared" si="61"/>
        <v>304</v>
      </c>
      <c r="H1494" s="13">
        <v>61</v>
      </c>
      <c r="I1494" s="14">
        <f t="shared" si="62"/>
        <v>-60.136986301369866</v>
      </c>
      <c r="J1494" s="26" t="s">
        <v>2908</v>
      </c>
    </row>
    <row r="1495" spans="1:37" x14ac:dyDescent="0.2">
      <c r="A1495">
        <v>-60</v>
      </c>
      <c r="B1495" s="10" t="s">
        <v>94</v>
      </c>
      <c r="C1495" s="11" t="s">
        <v>2909</v>
      </c>
      <c r="D1495" s="7" t="s">
        <v>2910</v>
      </c>
      <c r="E1495" s="13">
        <v>14</v>
      </c>
      <c r="F1495" s="13">
        <v>11</v>
      </c>
      <c r="G1495" s="13">
        <f t="shared" si="61"/>
        <v>304</v>
      </c>
      <c r="H1495" s="13">
        <v>61</v>
      </c>
      <c r="I1495" s="14">
        <f t="shared" si="62"/>
        <v>-60.128767123287673</v>
      </c>
      <c r="J1495" s="26" t="s">
        <v>2910</v>
      </c>
      <c r="P1495" t="s">
        <v>2816</v>
      </c>
      <c r="Q1495" s="17">
        <v>46</v>
      </c>
      <c r="R1495" s="16">
        <f>1000/Q1495</f>
        <v>21.739130434782609</v>
      </c>
      <c r="S1495" s="16">
        <f>8.33*R1495</f>
        <v>181.08695652173913</v>
      </c>
      <c r="T1495" s="16">
        <f>S1495*1.33</f>
        <v>240.84565217391304</v>
      </c>
      <c r="AK1495" t="s">
        <v>2911</v>
      </c>
    </row>
    <row r="1496" spans="1:37" x14ac:dyDescent="0.2">
      <c r="A1496">
        <v>-60</v>
      </c>
      <c r="B1496" s="10" t="s">
        <v>94</v>
      </c>
      <c r="C1496" s="11">
        <v>25</v>
      </c>
      <c r="D1496" s="7" t="s">
        <v>2912</v>
      </c>
      <c r="E1496" s="13">
        <v>15</v>
      </c>
      <c r="F1496" s="13">
        <v>11</v>
      </c>
      <c r="G1496" s="13">
        <f t="shared" si="61"/>
        <v>304</v>
      </c>
      <c r="H1496" s="13">
        <v>61</v>
      </c>
      <c r="I1496" s="14">
        <f t="shared" si="62"/>
        <v>-60.126027397260273</v>
      </c>
      <c r="J1496" s="7"/>
      <c r="P1496">
        <v>42</v>
      </c>
      <c r="Q1496" s="17">
        <v>42</v>
      </c>
      <c r="R1496" s="16">
        <f>1000/Q1496</f>
        <v>23.80952380952381</v>
      </c>
      <c r="S1496" s="16">
        <f>8.33*R1496</f>
        <v>198.33333333333334</v>
      </c>
      <c r="T1496" s="16">
        <f>S1496*1.33</f>
        <v>263.78333333333336</v>
      </c>
      <c r="AK1496" t="s">
        <v>2911</v>
      </c>
    </row>
    <row r="1497" spans="1:37" x14ac:dyDescent="0.2">
      <c r="A1497">
        <v>-60</v>
      </c>
      <c r="B1497" s="10" t="s">
        <v>94</v>
      </c>
      <c r="C1497" s="11">
        <v>26</v>
      </c>
      <c r="D1497" s="7" t="s">
        <v>2913</v>
      </c>
      <c r="E1497" s="13">
        <v>16</v>
      </c>
      <c r="F1497" s="13">
        <v>11</v>
      </c>
      <c r="G1497" s="13">
        <f t="shared" si="61"/>
        <v>304</v>
      </c>
      <c r="H1497" s="13">
        <v>61</v>
      </c>
      <c r="I1497" s="14">
        <f t="shared" si="62"/>
        <v>-60.123287671232873</v>
      </c>
      <c r="J1497" s="7"/>
      <c r="P1497">
        <v>40</v>
      </c>
      <c r="Q1497" s="17">
        <v>40</v>
      </c>
      <c r="R1497" s="16">
        <f>1000/Q1497</f>
        <v>25</v>
      </c>
      <c r="S1497" s="16">
        <f>8.33*R1497</f>
        <v>208.25</v>
      </c>
      <c r="T1497" s="16">
        <f>S1497*1.33</f>
        <v>276.97250000000003</v>
      </c>
      <c r="AK1497" t="s">
        <v>2911</v>
      </c>
    </row>
    <row r="1498" spans="1:37" x14ac:dyDescent="0.2">
      <c r="A1498">
        <v>-60</v>
      </c>
      <c r="B1498" s="10" t="s">
        <v>94</v>
      </c>
      <c r="C1498" s="11">
        <v>27</v>
      </c>
      <c r="D1498" s="7" t="s">
        <v>2914</v>
      </c>
      <c r="E1498" s="13">
        <v>17</v>
      </c>
      <c r="F1498" s="13">
        <v>11</v>
      </c>
      <c r="G1498" s="13">
        <f t="shared" si="61"/>
        <v>304</v>
      </c>
      <c r="H1498" s="13">
        <v>61</v>
      </c>
      <c r="I1498" s="14">
        <f t="shared" si="62"/>
        <v>-60.12054794520548</v>
      </c>
      <c r="J1498" s="7"/>
      <c r="P1498">
        <v>36</v>
      </c>
      <c r="Q1498" s="17">
        <v>36</v>
      </c>
      <c r="R1498" s="16">
        <f>1000/Q1498</f>
        <v>27.777777777777779</v>
      </c>
      <c r="S1498" s="16">
        <f>8.33*R1498</f>
        <v>231.38888888888889</v>
      </c>
      <c r="T1498" s="16">
        <f>S1498*1.33</f>
        <v>307.74722222222226</v>
      </c>
      <c r="AK1498" t="s">
        <v>2911</v>
      </c>
    </row>
    <row r="1499" spans="1:37" x14ac:dyDescent="0.2">
      <c r="A1499">
        <v>-60</v>
      </c>
      <c r="B1499" s="10" t="s">
        <v>94</v>
      </c>
      <c r="C1499" s="11">
        <v>28</v>
      </c>
      <c r="D1499" s="7" t="s">
        <v>2915</v>
      </c>
      <c r="E1499" s="13">
        <v>18</v>
      </c>
      <c r="F1499" s="13">
        <v>11</v>
      </c>
      <c r="G1499" s="13">
        <f t="shared" si="61"/>
        <v>304</v>
      </c>
      <c r="H1499" s="13">
        <v>61</v>
      </c>
      <c r="I1499" s="14">
        <f t="shared" si="62"/>
        <v>-60.11780821917808</v>
      </c>
      <c r="J1499" s="7"/>
      <c r="P1499" t="s">
        <v>41</v>
      </c>
    </row>
    <row r="1500" spans="1:37" x14ac:dyDescent="0.2">
      <c r="D1500" s="15"/>
    </row>
    <row r="1501" spans="1:37" x14ac:dyDescent="0.2">
      <c r="A1501" s="1" t="s">
        <v>2916</v>
      </c>
    </row>
    <row r="1502" spans="1:37" x14ac:dyDescent="0.2">
      <c r="A1502" s="37">
        <v>0</v>
      </c>
    </row>
    <row r="1503" spans="1:37" x14ac:dyDescent="0.2">
      <c r="A1503" s="37">
        <v>31</v>
      </c>
    </row>
    <row r="1504" spans="1:37" x14ac:dyDescent="0.2">
      <c r="A1504" s="37">
        <v>59</v>
      </c>
    </row>
    <row r="1505" spans="1:1" x14ac:dyDescent="0.2">
      <c r="A1505" s="37">
        <v>90</v>
      </c>
    </row>
    <row r="1506" spans="1:1" x14ac:dyDescent="0.2">
      <c r="A1506" s="37">
        <v>120</v>
      </c>
    </row>
    <row r="1507" spans="1:1" x14ac:dyDescent="0.2">
      <c r="A1507" s="37">
        <v>151</v>
      </c>
    </row>
    <row r="1508" spans="1:1" x14ac:dyDescent="0.2">
      <c r="A1508" s="37">
        <v>181</v>
      </c>
    </row>
    <row r="1509" spans="1:1" x14ac:dyDescent="0.2">
      <c r="A1509" s="37">
        <v>212</v>
      </c>
    </row>
    <row r="1510" spans="1:1" x14ac:dyDescent="0.2">
      <c r="A1510" s="37">
        <v>243</v>
      </c>
    </row>
    <row r="1511" spans="1:1" x14ac:dyDescent="0.2">
      <c r="A1511" s="37">
        <v>273</v>
      </c>
    </row>
    <row r="1512" spans="1:1" x14ac:dyDescent="0.2">
      <c r="A1512" s="37">
        <v>304</v>
      </c>
    </row>
    <row r="1513" spans="1:1" x14ac:dyDescent="0.2">
      <c r="A1513" s="37">
        <v>334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Ramisa Anan</dc:creator>
  <cp:lastModifiedBy>Ramisa Anan</cp:lastModifiedBy>
  <dcterms:created xsi:type="dcterms:W3CDTF">2026-08-26T05:55:58Z</dcterms:created>
  <dcterms:modified xsi:type="dcterms:W3CDTF">2026-08-26T06:06:18Z</dcterms:modified>
</cp:coreProperties>
</file>